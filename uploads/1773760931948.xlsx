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ywoodcontinentalltd-my.sharepoint.com/personal/babasola_oso_cbitechnologiesltd_com/Documents/Attachments/"/>
    </mc:Choice>
  </mc:AlternateContent>
  <xr:revisionPtr revIDLastSave="8" documentId="8_{3FD785E5-F6C2-416A-B1FB-CD2BED2CA6CA}" xr6:coauthVersionLast="47" xr6:coauthVersionMax="47" xr10:uidLastSave="{9A317EB2-692D-44ED-8203-6FBE065D62FD}"/>
  <bookViews>
    <workbookView xWindow="-108" yWindow="-108" windowWidth="23256" windowHeight="12456" activeTab="1" xr2:uid="{9BE22323-2829-4949-B76D-C8DD1651E677}"/>
  </bookViews>
  <sheets>
    <sheet name="Card Exp Settlm Computation" sheetId="2" r:id="rId1"/>
    <sheet name="01-01-2026" sheetId="3" r:id="rId2"/>
    <sheet name="02-01-2026" sheetId="4" r:id="rId3"/>
    <sheet name="03-01-2026" sheetId="5" r:id="rId4"/>
    <sheet name="04-01-2026" sheetId="6" r:id="rId5"/>
    <sheet name="05-01-2026" sheetId="7" r:id="rId6"/>
    <sheet name="06-01-2026" sheetId="8" r:id="rId7"/>
    <sheet name="07-01-2026" sheetId="10" r:id="rId8"/>
    <sheet name="08-01-2026" sheetId="9" r:id="rId9"/>
    <sheet name="09-01-2026" sheetId="11" r:id="rId10"/>
    <sheet name="10-01-2026" sheetId="12" r:id="rId11"/>
    <sheet name="11-01-2026" sheetId="13" r:id="rId12"/>
    <sheet name="12-01-2026" sheetId="14" r:id="rId13"/>
    <sheet name="13-01-2026" sheetId="16" r:id="rId14"/>
    <sheet name="14-01-2026" sheetId="17" r:id="rId15"/>
    <sheet name="15-01-2026" sheetId="18" r:id="rId16"/>
    <sheet name="16-01-2026" sheetId="19" r:id="rId17"/>
    <sheet name="17-01-2026" sheetId="20" r:id="rId18"/>
    <sheet name="18-01-2026" sheetId="21" r:id="rId19"/>
    <sheet name="19-01-2026" sheetId="22" r:id="rId20"/>
    <sheet name="20-01-2026" sheetId="25" r:id="rId21"/>
    <sheet name="21-01-2026" sheetId="26" r:id="rId22"/>
    <sheet name="22-01-2026" sheetId="27" r:id="rId23"/>
    <sheet name="23-01-2026" sheetId="28" r:id="rId24"/>
    <sheet name="24-01-2026" sheetId="29" r:id="rId25"/>
    <sheet name="25-01-2026" sheetId="30" r:id="rId26"/>
    <sheet name="26-01-2026" sheetId="34" r:id="rId27"/>
    <sheet name="27-01-2026" sheetId="35" r:id="rId28"/>
    <sheet name="28-01-2026" sheetId="38" r:id="rId29"/>
    <sheet name="29-01-2026" sheetId="39" r:id="rId30"/>
    <sheet name="30-01-2026" sheetId="40" r:id="rId31"/>
    <sheet name="31-01-2026" sheetId="41" r:id="rId32"/>
  </sheets>
  <definedNames>
    <definedName name="_xlnm._FilterDatabase" localSheetId="24" hidden="1">'24-01-2026'!$A$2:$O$3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2" l="1"/>
  <c r="B33" i="2"/>
  <c r="K3" i="8"/>
  <c r="K4" i="8"/>
  <c r="K5" i="8"/>
  <c r="H3" i="8"/>
  <c r="H4" i="8"/>
  <c r="H5" i="8"/>
  <c r="K2" i="8"/>
  <c r="H2" i="8"/>
  <c r="I2" i="8" s="1"/>
  <c r="J2" i="8" s="1"/>
  <c r="J4" i="8" l="1"/>
  <c r="L5" i="8"/>
  <c r="I4" i="8"/>
  <c r="L3" i="8"/>
  <c r="I5" i="8"/>
  <c r="J5" i="8" s="1"/>
  <c r="L4" i="8"/>
  <c r="I3" i="8"/>
  <c r="J3" i="8" s="1"/>
  <c r="L2" i="8"/>
  <c r="I32" i="2"/>
  <c r="I31" i="2"/>
  <c r="C32" i="2"/>
  <c r="I30" i="2"/>
  <c r="C30" i="2"/>
  <c r="I29" i="2"/>
  <c r="C29" i="2"/>
  <c r="G9" i="38"/>
  <c r="H9" i="38"/>
  <c r="I9" i="38"/>
  <c r="J9" i="38"/>
  <c r="K9" i="38"/>
  <c r="L9" i="38"/>
  <c r="L3" i="38"/>
  <c r="L4" i="38"/>
  <c r="L5" i="38"/>
  <c r="L6" i="38"/>
  <c r="L7" i="38"/>
  <c r="L8" i="38"/>
  <c r="K3" i="38"/>
  <c r="K4" i="38"/>
  <c r="K5" i="38"/>
  <c r="K6" i="38"/>
  <c r="K7" i="38"/>
  <c r="K8" i="38"/>
  <c r="J3" i="38"/>
  <c r="J4" i="38"/>
  <c r="J5" i="38"/>
  <c r="J6" i="38"/>
  <c r="J7" i="38"/>
  <c r="J8" i="38"/>
  <c r="I3" i="38"/>
  <c r="I4" i="38"/>
  <c r="I5" i="38"/>
  <c r="I6" i="38"/>
  <c r="I7" i="38"/>
  <c r="I8" i="38"/>
  <c r="H3" i="38"/>
  <c r="H4" i="38"/>
  <c r="H5" i="38"/>
  <c r="H6" i="38"/>
  <c r="H7" i="38"/>
  <c r="H8" i="38"/>
  <c r="K2" i="38"/>
  <c r="H2" i="38"/>
  <c r="L2" i="38" s="1"/>
  <c r="G4" i="39"/>
  <c r="H4" i="39"/>
  <c r="I4" i="39"/>
  <c r="J4" i="39"/>
  <c r="K4" i="39"/>
  <c r="L4" i="39"/>
  <c r="L3" i="39"/>
  <c r="K3" i="39"/>
  <c r="J3" i="39"/>
  <c r="I3" i="39"/>
  <c r="H3" i="39"/>
  <c r="K2" i="39"/>
  <c r="H2" i="39"/>
  <c r="L2" i="39" s="1"/>
  <c r="G6" i="41"/>
  <c r="H6" i="41"/>
  <c r="I6" i="41"/>
  <c r="J6" i="41"/>
  <c r="K6" i="41"/>
  <c r="L6" i="41"/>
  <c r="L3" i="41"/>
  <c r="L4" i="41"/>
  <c r="L5" i="41"/>
  <c r="K3" i="41"/>
  <c r="K4" i="41"/>
  <c r="K5" i="41"/>
  <c r="J3" i="41"/>
  <c r="J4" i="41"/>
  <c r="J5" i="41"/>
  <c r="I3" i="41"/>
  <c r="I4" i="41"/>
  <c r="I5" i="41"/>
  <c r="H3" i="41"/>
  <c r="H4" i="41"/>
  <c r="H5" i="41"/>
  <c r="K2" i="41"/>
  <c r="H2" i="41"/>
  <c r="L2" i="41" s="1"/>
  <c r="I2" i="38" l="1"/>
  <c r="J2" i="38"/>
  <c r="I2" i="39"/>
  <c r="J2" i="39"/>
  <c r="I2" i="41"/>
  <c r="J2" i="41"/>
  <c r="D38" i="2" l="1"/>
  <c r="D36" i="2"/>
  <c r="D33" i="2"/>
  <c r="E33" i="2"/>
  <c r="F33" i="2"/>
  <c r="I28" i="2" l="1"/>
  <c r="C28" i="2"/>
  <c r="G5" i="35"/>
  <c r="H5" i="35"/>
  <c r="I5" i="35"/>
  <c r="J5" i="35"/>
  <c r="K5" i="35"/>
  <c r="L5" i="35"/>
  <c r="L3" i="35"/>
  <c r="L4" i="35"/>
  <c r="K3" i="35"/>
  <c r="K4" i="35"/>
  <c r="J3" i="35"/>
  <c r="J4" i="35"/>
  <c r="I3" i="35"/>
  <c r="I4" i="35"/>
  <c r="H3" i="35"/>
  <c r="H4" i="35"/>
  <c r="K2" i="35"/>
  <c r="H2" i="35"/>
  <c r="L2" i="35" s="1"/>
  <c r="I27" i="2"/>
  <c r="C27" i="2"/>
  <c r="G5" i="34"/>
  <c r="H5" i="34"/>
  <c r="I5" i="34"/>
  <c r="J5" i="34"/>
  <c r="K5" i="34"/>
  <c r="L5" i="34"/>
  <c r="L3" i="34"/>
  <c r="L4" i="34"/>
  <c r="K3" i="34"/>
  <c r="K4" i="34"/>
  <c r="J3" i="34"/>
  <c r="J4" i="34"/>
  <c r="I3" i="34"/>
  <c r="I4" i="34"/>
  <c r="H3" i="34"/>
  <c r="H4" i="34"/>
  <c r="K2" i="34"/>
  <c r="H2" i="34"/>
  <c r="L2" i="34" s="1"/>
  <c r="I2" i="35" l="1"/>
  <c r="J2" i="35"/>
  <c r="I2" i="34"/>
  <c r="J2" i="34"/>
  <c r="I26" i="2" l="1"/>
  <c r="C26" i="2"/>
  <c r="H26" i="2" s="1"/>
  <c r="I25" i="2"/>
  <c r="E25" i="2"/>
  <c r="I24" i="2"/>
  <c r="E24" i="2"/>
  <c r="C24" i="2"/>
  <c r="I23" i="2"/>
  <c r="E23" i="2"/>
  <c r="C23" i="2"/>
  <c r="H23" i="2" s="1"/>
  <c r="G4" i="30"/>
  <c r="H4" i="30"/>
  <c r="I4" i="30"/>
  <c r="J4" i="30"/>
  <c r="K4" i="30"/>
  <c r="L4" i="30"/>
  <c r="L3" i="30"/>
  <c r="K3" i="30"/>
  <c r="J3" i="30"/>
  <c r="I3" i="30"/>
  <c r="H3" i="30"/>
  <c r="K2" i="30"/>
  <c r="H2" i="30"/>
  <c r="L2" i="30" s="1"/>
  <c r="K3" i="29"/>
  <c r="K8" i="28"/>
  <c r="L2" i="28"/>
  <c r="K2" i="28"/>
  <c r="H2" i="28"/>
  <c r="K7" i="27"/>
  <c r="K2" i="27"/>
  <c r="H2" i="27"/>
  <c r="L2" i="27" s="1"/>
  <c r="I22" i="2"/>
  <c r="I21" i="2"/>
  <c r="C22" i="2"/>
  <c r="H22" i="2" s="1"/>
  <c r="G7" i="26"/>
  <c r="H7" i="26"/>
  <c r="I7" i="26"/>
  <c r="J7" i="26"/>
  <c r="K7" i="26"/>
  <c r="L7" i="26"/>
  <c r="L3" i="26"/>
  <c r="L4" i="26"/>
  <c r="L5" i="26"/>
  <c r="L6" i="26"/>
  <c r="K3" i="26"/>
  <c r="K4" i="26"/>
  <c r="K5" i="26"/>
  <c r="K6" i="26"/>
  <c r="J3" i="26"/>
  <c r="J4" i="26"/>
  <c r="J5" i="26"/>
  <c r="J6" i="26"/>
  <c r="I3" i="26"/>
  <c r="I4" i="26"/>
  <c r="I5" i="26"/>
  <c r="I6" i="26"/>
  <c r="H3" i="26"/>
  <c r="H4" i="26"/>
  <c r="H5" i="26"/>
  <c r="H6" i="26"/>
  <c r="K2" i="26"/>
  <c r="H2" i="26"/>
  <c r="L2" i="26" s="1"/>
  <c r="I20" i="2"/>
  <c r="C20" i="2"/>
  <c r="I13" i="2"/>
  <c r="I19" i="2"/>
  <c r="H19" i="2"/>
  <c r="C19" i="2"/>
  <c r="I18" i="2"/>
  <c r="C18" i="2"/>
  <c r="I17" i="2"/>
  <c r="C17" i="2"/>
  <c r="I16" i="2"/>
  <c r="C16" i="2"/>
  <c r="H16" i="2" s="1"/>
  <c r="I15" i="2"/>
  <c r="C15" i="2"/>
  <c r="H15" i="2" s="1"/>
  <c r="G8" i="22"/>
  <c r="H8" i="22"/>
  <c r="I8" i="22"/>
  <c r="J8" i="22"/>
  <c r="K8" i="22"/>
  <c r="L8" i="22"/>
  <c r="L3" i="22"/>
  <c r="L4" i="22"/>
  <c r="L5" i="22"/>
  <c r="L6" i="22"/>
  <c r="L7" i="22"/>
  <c r="K3" i="22"/>
  <c r="K4" i="22"/>
  <c r="K5" i="22"/>
  <c r="K6" i="22"/>
  <c r="K7" i="22"/>
  <c r="J3" i="22"/>
  <c r="J4" i="22"/>
  <c r="J5" i="22"/>
  <c r="J6" i="22"/>
  <c r="J7" i="22"/>
  <c r="I3" i="22"/>
  <c r="I4" i="22"/>
  <c r="I5" i="22"/>
  <c r="I6" i="22"/>
  <c r="I7" i="22"/>
  <c r="H3" i="22"/>
  <c r="H4" i="22"/>
  <c r="H5" i="22"/>
  <c r="H6" i="22"/>
  <c r="H7" i="22"/>
  <c r="K2" i="22"/>
  <c r="H2" i="22"/>
  <c r="L2" i="22" s="1"/>
  <c r="G9" i="21"/>
  <c r="K3" i="21"/>
  <c r="K4" i="21"/>
  <c r="K5" i="21"/>
  <c r="K6" i="21"/>
  <c r="K7" i="21"/>
  <c r="K9" i="21" s="1"/>
  <c r="K8" i="21"/>
  <c r="H3" i="21"/>
  <c r="I3" i="21" s="1"/>
  <c r="J3" i="21" s="1"/>
  <c r="H4" i="21"/>
  <c r="I4" i="21" s="1"/>
  <c r="H5" i="21"/>
  <c r="I5" i="21" s="1"/>
  <c r="J5" i="21" s="1"/>
  <c r="H6" i="21"/>
  <c r="I6" i="21" s="1"/>
  <c r="H7" i="21"/>
  <c r="I7" i="21" s="1"/>
  <c r="J7" i="21" s="1"/>
  <c r="H8" i="21"/>
  <c r="I8" i="21" s="1"/>
  <c r="K2" i="21"/>
  <c r="H2" i="21"/>
  <c r="L2" i="21" s="1"/>
  <c r="G5" i="20"/>
  <c r="H5" i="20"/>
  <c r="I5" i="20"/>
  <c r="J5" i="20"/>
  <c r="K5" i="20"/>
  <c r="L5" i="20"/>
  <c r="L3" i="20"/>
  <c r="L4" i="20"/>
  <c r="K3" i="20"/>
  <c r="K4" i="20"/>
  <c r="J3" i="20"/>
  <c r="J4" i="20"/>
  <c r="I3" i="20"/>
  <c r="I4" i="20"/>
  <c r="H3" i="20"/>
  <c r="H4" i="20"/>
  <c r="K2" i="20"/>
  <c r="H2" i="20"/>
  <c r="L2" i="20" s="1"/>
  <c r="G10" i="19"/>
  <c r="H10" i="19"/>
  <c r="I10" i="19"/>
  <c r="J10" i="19"/>
  <c r="K10" i="19"/>
  <c r="L10" i="19"/>
  <c r="L3" i="19"/>
  <c r="L4" i="19"/>
  <c r="L5" i="19"/>
  <c r="L6" i="19"/>
  <c r="L7" i="19"/>
  <c r="L8" i="19"/>
  <c r="L9" i="19"/>
  <c r="K3" i="19"/>
  <c r="K4" i="19"/>
  <c r="K5" i="19"/>
  <c r="K6" i="19"/>
  <c r="K7" i="19"/>
  <c r="K8" i="19"/>
  <c r="K9" i="19"/>
  <c r="J3" i="19"/>
  <c r="J4" i="19"/>
  <c r="J5" i="19"/>
  <c r="J6" i="19"/>
  <c r="J7" i="19"/>
  <c r="J8" i="19"/>
  <c r="J9" i="19"/>
  <c r="I3" i="19"/>
  <c r="I4" i="19"/>
  <c r="I5" i="19"/>
  <c r="I6" i="19"/>
  <c r="I7" i="19"/>
  <c r="I8" i="19"/>
  <c r="I9" i="19"/>
  <c r="H3" i="19"/>
  <c r="H4" i="19"/>
  <c r="H5" i="19"/>
  <c r="H6" i="19"/>
  <c r="H7" i="19"/>
  <c r="H8" i="19"/>
  <c r="H9" i="19"/>
  <c r="K2" i="19"/>
  <c r="H2" i="19"/>
  <c r="L2" i="19" s="1"/>
  <c r="G6" i="18"/>
  <c r="K3" i="18"/>
  <c r="K4" i="18"/>
  <c r="K5" i="18"/>
  <c r="L5" i="18" s="1"/>
  <c r="H3" i="18"/>
  <c r="H4" i="18"/>
  <c r="H5" i="18"/>
  <c r="K2" i="18"/>
  <c r="K6" i="18" s="1"/>
  <c r="H2" i="18"/>
  <c r="L2" i="18" s="1"/>
  <c r="G7" i="17"/>
  <c r="L5" i="17"/>
  <c r="L6" i="17"/>
  <c r="K3" i="17"/>
  <c r="K7" i="17" s="1"/>
  <c r="K4" i="17"/>
  <c r="K5" i="17"/>
  <c r="K6" i="17"/>
  <c r="I5" i="17"/>
  <c r="J5" i="17" s="1"/>
  <c r="I6" i="17"/>
  <c r="J6" i="17" s="1"/>
  <c r="H3" i="17"/>
  <c r="H4" i="17"/>
  <c r="H5" i="17"/>
  <c r="H6" i="17"/>
  <c r="K2" i="17"/>
  <c r="H2" i="17"/>
  <c r="H7" i="17" s="1"/>
  <c r="F13" i="2"/>
  <c r="H13" i="2"/>
  <c r="E13" i="2"/>
  <c r="I14" i="2"/>
  <c r="I12" i="2"/>
  <c r="I11" i="2"/>
  <c r="I10" i="2"/>
  <c r="I9" i="2"/>
  <c r="I8" i="2"/>
  <c r="I6" i="2"/>
  <c r="I5" i="2"/>
  <c r="I4" i="2"/>
  <c r="I3" i="2"/>
  <c r="I2" i="2"/>
  <c r="C14" i="2"/>
  <c r="H14" i="2" s="1"/>
  <c r="G7" i="16"/>
  <c r="H7" i="16"/>
  <c r="I7" i="16"/>
  <c r="J7" i="16"/>
  <c r="K7" i="16"/>
  <c r="L7" i="16"/>
  <c r="L3" i="16"/>
  <c r="L4" i="16"/>
  <c r="L5" i="16"/>
  <c r="L6" i="16"/>
  <c r="K3" i="16"/>
  <c r="K4" i="16"/>
  <c r="K5" i="16"/>
  <c r="K6" i="16"/>
  <c r="J3" i="16"/>
  <c r="J4" i="16"/>
  <c r="J5" i="16"/>
  <c r="J6" i="16"/>
  <c r="I3" i="16"/>
  <c r="I4" i="16"/>
  <c r="I5" i="16"/>
  <c r="I6" i="16"/>
  <c r="H3" i="16"/>
  <c r="H4" i="16"/>
  <c r="H5" i="16"/>
  <c r="H6" i="16"/>
  <c r="K2" i="16"/>
  <c r="H2" i="16"/>
  <c r="L2" i="16" s="1"/>
  <c r="K11" i="14"/>
  <c r="H11" i="14"/>
  <c r="I11" i="14"/>
  <c r="G17" i="2"/>
  <c r="C12" i="2"/>
  <c r="H12" i="2" s="1"/>
  <c r="C11" i="2"/>
  <c r="H11" i="2" s="1"/>
  <c r="C10" i="2"/>
  <c r="C9" i="2"/>
  <c r="C8" i="2"/>
  <c r="H8" i="2" s="1"/>
  <c r="C7" i="2"/>
  <c r="C33" i="2" s="1"/>
  <c r="D37" i="2" s="1"/>
  <c r="C6" i="2"/>
  <c r="C5" i="2"/>
  <c r="H5" i="2" s="1"/>
  <c r="C4" i="2"/>
  <c r="H3" i="2"/>
  <c r="H4" i="2"/>
  <c r="H6" i="2"/>
  <c r="H9" i="2"/>
  <c r="H10" i="2"/>
  <c r="H17" i="2"/>
  <c r="H18" i="2"/>
  <c r="H20" i="2"/>
  <c r="H21" i="2"/>
  <c r="H24" i="2"/>
  <c r="H25" i="2"/>
  <c r="H27" i="2"/>
  <c r="H28" i="2"/>
  <c r="H29" i="2"/>
  <c r="H30" i="2"/>
  <c r="H31" i="2"/>
  <c r="H3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C3" i="2"/>
  <c r="H2" i="2"/>
  <c r="G2" i="2"/>
  <c r="C2" i="2"/>
  <c r="G7" i="14"/>
  <c r="C13" i="2" s="1"/>
  <c r="K3" i="14"/>
  <c r="K4" i="14"/>
  <c r="K5" i="14"/>
  <c r="K6" i="14"/>
  <c r="H3" i="14"/>
  <c r="H4" i="14"/>
  <c r="H5" i="14"/>
  <c r="H6" i="14"/>
  <c r="K2" i="14"/>
  <c r="H2" i="14"/>
  <c r="L2" i="14" s="1"/>
  <c r="G7" i="13"/>
  <c r="H7" i="13"/>
  <c r="I7" i="13"/>
  <c r="J7" i="13"/>
  <c r="K7" i="13"/>
  <c r="L7" i="13"/>
  <c r="L3" i="13"/>
  <c r="L4" i="13"/>
  <c r="L5" i="13"/>
  <c r="L6" i="13"/>
  <c r="K3" i="13"/>
  <c r="K4" i="13"/>
  <c r="K5" i="13"/>
  <c r="K6" i="13"/>
  <c r="J3" i="13"/>
  <c r="J4" i="13"/>
  <c r="J5" i="13"/>
  <c r="J6" i="13"/>
  <c r="I3" i="13"/>
  <c r="I4" i="13"/>
  <c r="I5" i="13"/>
  <c r="I6" i="13"/>
  <c r="H3" i="13"/>
  <c r="H4" i="13"/>
  <c r="H5" i="13"/>
  <c r="H6" i="13"/>
  <c r="K2" i="13"/>
  <c r="H2" i="13"/>
  <c r="L2" i="13" s="1"/>
  <c r="G4" i="12"/>
  <c r="H4" i="12"/>
  <c r="I4" i="12"/>
  <c r="J4" i="12"/>
  <c r="K4" i="12"/>
  <c r="L4" i="12"/>
  <c r="L3" i="12"/>
  <c r="K3" i="12"/>
  <c r="J3" i="12"/>
  <c r="I3" i="12"/>
  <c r="H3" i="12"/>
  <c r="K2" i="12"/>
  <c r="H2" i="12"/>
  <c r="L2" i="12" s="1"/>
  <c r="G7" i="11"/>
  <c r="L5" i="11"/>
  <c r="L6" i="11"/>
  <c r="K3" i="11"/>
  <c r="K7" i="11" s="1"/>
  <c r="K4" i="11"/>
  <c r="K5" i="11"/>
  <c r="K6" i="11"/>
  <c r="I5" i="11"/>
  <c r="J5" i="11" s="1"/>
  <c r="I6" i="11"/>
  <c r="J6" i="11" s="1"/>
  <c r="H3" i="11"/>
  <c r="H4" i="11"/>
  <c r="H5" i="11"/>
  <c r="H6" i="11"/>
  <c r="K2" i="11"/>
  <c r="H2" i="11"/>
  <c r="H7" i="11" s="1"/>
  <c r="G8" i="9"/>
  <c r="H8" i="9"/>
  <c r="I8" i="9"/>
  <c r="J8" i="9"/>
  <c r="K8" i="9"/>
  <c r="L8" i="9"/>
  <c r="L3" i="9"/>
  <c r="L4" i="9"/>
  <c r="L5" i="9"/>
  <c r="L6" i="9"/>
  <c r="L7" i="9"/>
  <c r="K3" i="9"/>
  <c r="K4" i="9"/>
  <c r="K5" i="9"/>
  <c r="K6" i="9"/>
  <c r="K7" i="9"/>
  <c r="J3" i="9"/>
  <c r="J4" i="9"/>
  <c r="J5" i="9"/>
  <c r="J6" i="9"/>
  <c r="J7" i="9"/>
  <c r="I3" i="9"/>
  <c r="I4" i="9"/>
  <c r="I5" i="9"/>
  <c r="I6" i="9"/>
  <c r="I7" i="9"/>
  <c r="H3" i="9"/>
  <c r="H4" i="9"/>
  <c r="H5" i="9"/>
  <c r="H6" i="9"/>
  <c r="H7" i="9"/>
  <c r="K2" i="9"/>
  <c r="H2" i="9"/>
  <c r="L2" i="9" s="1"/>
  <c r="G5" i="10"/>
  <c r="H5" i="10"/>
  <c r="I5" i="10"/>
  <c r="J5" i="10"/>
  <c r="K5" i="10"/>
  <c r="L5" i="10"/>
  <c r="L3" i="10"/>
  <c r="L4" i="10"/>
  <c r="K3" i="10"/>
  <c r="K4" i="10"/>
  <c r="J3" i="10"/>
  <c r="J4" i="10"/>
  <c r="I3" i="10"/>
  <c r="I4" i="10"/>
  <c r="H3" i="10"/>
  <c r="H4" i="10"/>
  <c r="K2" i="10"/>
  <c r="I2" i="10"/>
  <c r="H2" i="10"/>
  <c r="L2" i="10" s="1"/>
  <c r="G6" i="8"/>
  <c r="K6" i="8"/>
  <c r="G9" i="7"/>
  <c r="H9" i="7"/>
  <c r="I9" i="7"/>
  <c r="J9" i="7"/>
  <c r="K9" i="7"/>
  <c r="L9" i="7"/>
  <c r="L3" i="7"/>
  <c r="L4" i="7"/>
  <c r="L5" i="7"/>
  <c r="L6" i="7"/>
  <c r="L7" i="7"/>
  <c r="L8" i="7"/>
  <c r="K3" i="7"/>
  <c r="K4" i="7"/>
  <c r="K5" i="7"/>
  <c r="K6" i="7"/>
  <c r="K7" i="7"/>
  <c r="K8" i="7"/>
  <c r="J3" i="7"/>
  <c r="J4" i="7"/>
  <c r="J5" i="7"/>
  <c r="J6" i="7"/>
  <c r="J7" i="7"/>
  <c r="J8" i="7"/>
  <c r="I3" i="7"/>
  <c r="I4" i="7"/>
  <c r="I5" i="7"/>
  <c r="I6" i="7"/>
  <c r="I7" i="7"/>
  <c r="I8" i="7"/>
  <c r="H3" i="7"/>
  <c r="H4" i="7"/>
  <c r="H5" i="7"/>
  <c r="H6" i="7"/>
  <c r="H7" i="7"/>
  <c r="H8" i="7"/>
  <c r="K2" i="7"/>
  <c r="H2" i="7"/>
  <c r="L2" i="7" s="1"/>
  <c r="G6" i="6"/>
  <c r="H6" i="6"/>
  <c r="I6" i="6"/>
  <c r="J6" i="6"/>
  <c r="K6" i="6"/>
  <c r="L6" i="6"/>
  <c r="L3" i="6"/>
  <c r="L4" i="6"/>
  <c r="L5" i="6"/>
  <c r="K3" i="6"/>
  <c r="K4" i="6"/>
  <c r="K5" i="6"/>
  <c r="J3" i="6"/>
  <c r="J4" i="6"/>
  <c r="J5" i="6"/>
  <c r="I3" i="6"/>
  <c r="I4" i="6"/>
  <c r="I5" i="6"/>
  <c r="H3" i="6"/>
  <c r="H4" i="6"/>
  <c r="H5" i="6"/>
  <c r="K2" i="6"/>
  <c r="H2" i="6"/>
  <c r="L2" i="6" s="1"/>
  <c r="G17" i="5"/>
  <c r="H17" i="5"/>
  <c r="I17" i="5"/>
  <c r="J17" i="5"/>
  <c r="K17" i="5"/>
  <c r="L17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K2" i="5"/>
  <c r="H2" i="5"/>
  <c r="L2" i="5" s="1"/>
  <c r="G7" i="4"/>
  <c r="H7" i="4"/>
  <c r="I7" i="4"/>
  <c r="J7" i="4"/>
  <c r="K7" i="4"/>
  <c r="L7" i="4"/>
  <c r="I3" i="4"/>
  <c r="I4" i="4"/>
  <c r="I5" i="4"/>
  <c r="I6" i="4"/>
  <c r="H3" i="4"/>
  <c r="J3" i="4" s="1"/>
  <c r="H4" i="4"/>
  <c r="H5" i="4"/>
  <c r="H6" i="4"/>
  <c r="K2" i="4"/>
  <c r="H2" i="4"/>
  <c r="I2" i="4" s="1"/>
  <c r="L3" i="4"/>
  <c r="L4" i="4"/>
  <c r="L5" i="4"/>
  <c r="K3" i="4"/>
  <c r="K4" i="4"/>
  <c r="K5" i="4"/>
  <c r="K6" i="4"/>
  <c r="J4" i="4"/>
  <c r="J5" i="4"/>
  <c r="K3" i="3"/>
  <c r="K4" i="3"/>
  <c r="K5" i="3"/>
  <c r="K11" i="3" s="1"/>
  <c r="K6" i="3"/>
  <c r="K7" i="3"/>
  <c r="K8" i="3"/>
  <c r="K9" i="3"/>
  <c r="K10" i="3"/>
  <c r="K2" i="3"/>
  <c r="G11" i="3"/>
  <c r="H11" i="3"/>
  <c r="I11" i="3"/>
  <c r="J11" i="3"/>
  <c r="L3" i="3"/>
  <c r="L4" i="3"/>
  <c r="L5" i="3"/>
  <c r="L6" i="3"/>
  <c r="L7" i="3"/>
  <c r="L8" i="3"/>
  <c r="L9" i="3"/>
  <c r="L10" i="3"/>
  <c r="J3" i="3"/>
  <c r="J4" i="3"/>
  <c r="J5" i="3"/>
  <c r="J6" i="3"/>
  <c r="J7" i="3"/>
  <c r="J8" i="3"/>
  <c r="J9" i="3"/>
  <c r="J10" i="3"/>
  <c r="I3" i="3"/>
  <c r="I4" i="3"/>
  <c r="I5" i="3"/>
  <c r="I6" i="3"/>
  <c r="I7" i="3"/>
  <c r="I8" i="3"/>
  <c r="I9" i="3"/>
  <c r="I10" i="3"/>
  <c r="H3" i="3"/>
  <c r="H4" i="3"/>
  <c r="H5" i="3"/>
  <c r="H6" i="3"/>
  <c r="H7" i="3"/>
  <c r="H8" i="3"/>
  <c r="H9" i="3"/>
  <c r="H10" i="3"/>
  <c r="H2" i="3"/>
  <c r="H6" i="8" l="1"/>
  <c r="H7" i="2"/>
  <c r="G33" i="2"/>
  <c r="H33" i="2"/>
  <c r="I2" i="30"/>
  <c r="J2" i="30" s="1"/>
  <c r="J2" i="28"/>
  <c r="I2" i="28"/>
  <c r="I2" i="27"/>
  <c r="J2" i="27" s="1"/>
  <c r="I2" i="26"/>
  <c r="J2" i="26" s="1"/>
  <c r="J2" i="22"/>
  <c r="I2" i="22"/>
  <c r="J8" i="21"/>
  <c r="L8" i="21"/>
  <c r="L7" i="21"/>
  <c r="J6" i="21"/>
  <c r="L6" i="21"/>
  <c r="L5" i="21"/>
  <c r="J4" i="21"/>
  <c r="L4" i="21"/>
  <c r="L3" i="21"/>
  <c r="L9" i="21" s="1"/>
  <c r="I2" i="21"/>
  <c r="H9" i="21"/>
  <c r="I2" i="20"/>
  <c r="J2" i="20"/>
  <c r="I2" i="19"/>
  <c r="J2" i="19"/>
  <c r="L4" i="18"/>
  <c r="L3" i="18"/>
  <c r="L6" i="18" s="1"/>
  <c r="I5" i="18"/>
  <c r="J5" i="18" s="1"/>
  <c r="I4" i="18"/>
  <c r="J4" i="18" s="1"/>
  <c r="I3" i="18"/>
  <c r="J3" i="18" s="1"/>
  <c r="H6" i="18"/>
  <c r="I2" i="18"/>
  <c r="I6" i="18" s="1"/>
  <c r="I4" i="17"/>
  <c r="J4" i="17" s="1"/>
  <c r="L4" i="17"/>
  <c r="I3" i="17"/>
  <c r="J3" i="17" s="1"/>
  <c r="L3" i="17"/>
  <c r="I2" i="17"/>
  <c r="L2" i="17"/>
  <c r="L7" i="17" s="1"/>
  <c r="I2" i="16"/>
  <c r="J2" i="16"/>
  <c r="K7" i="14"/>
  <c r="L11" i="14"/>
  <c r="J11" i="14"/>
  <c r="L3" i="14"/>
  <c r="I4" i="14"/>
  <c r="J4" i="14" s="1"/>
  <c r="H7" i="14"/>
  <c r="I6" i="14"/>
  <c r="J6" i="14" s="1"/>
  <c r="I5" i="14"/>
  <c r="J5" i="14" s="1"/>
  <c r="L6" i="14"/>
  <c r="L5" i="14"/>
  <c r="I3" i="14"/>
  <c r="L4" i="14"/>
  <c r="L7" i="14" s="1"/>
  <c r="I2" i="14"/>
  <c r="J2" i="14" s="1"/>
  <c r="I2" i="13"/>
  <c r="J2" i="13" s="1"/>
  <c r="I2" i="12"/>
  <c r="J2" i="12"/>
  <c r="J4" i="11"/>
  <c r="J3" i="11"/>
  <c r="I4" i="11"/>
  <c r="L4" i="11"/>
  <c r="I3" i="11"/>
  <c r="L3" i="11"/>
  <c r="L2" i="11"/>
  <c r="L7" i="11" s="1"/>
  <c r="I2" i="11"/>
  <c r="I2" i="9"/>
  <c r="J2" i="9" s="1"/>
  <c r="J2" i="10"/>
  <c r="I2" i="7"/>
  <c r="J2" i="7"/>
  <c r="I2" i="6"/>
  <c r="J2" i="6"/>
  <c r="I2" i="5"/>
  <c r="J2" i="5"/>
  <c r="L6" i="4"/>
  <c r="J6" i="4"/>
  <c r="L2" i="4"/>
  <c r="J2" i="4"/>
  <c r="I2" i="3"/>
  <c r="J2" i="3"/>
  <c r="L2" i="3" s="1"/>
  <c r="L11" i="3" s="1"/>
  <c r="L6" i="8" l="1"/>
  <c r="I6" i="8"/>
  <c r="J6" i="8" s="1"/>
  <c r="I7" i="2" s="1"/>
  <c r="I33" i="2" s="1"/>
  <c r="J2" i="21"/>
  <c r="J9" i="21" s="1"/>
  <c r="I9" i="21"/>
  <c r="J2" i="18"/>
  <c r="J6" i="18" s="1"/>
  <c r="J2" i="17"/>
  <c r="J7" i="17" s="1"/>
  <c r="I7" i="17"/>
  <c r="I7" i="14"/>
  <c r="J3" i="14"/>
  <c r="J7" i="14" s="1"/>
  <c r="J2" i="11"/>
  <c r="J7" i="11" s="1"/>
  <c r="I7" i="11"/>
</calcChain>
</file>

<file path=xl/sharedStrings.xml><?xml version="1.0" encoding="utf-8"?>
<sst xmlns="http://schemas.openxmlformats.org/spreadsheetml/2006/main" count="1483" uniqueCount="332">
  <si>
    <t xml:space="preserve">  DATE</t>
  </si>
  <si>
    <t>TOTAL</t>
  </si>
  <si>
    <t>(POS Trans)Vol</t>
  </si>
  <si>
    <t>(POS Trans)Val</t>
  </si>
  <si>
    <t>(WEB Trans)Vol</t>
  </si>
  <si>
    <t>(WEB Trans)Val</t>
  </si>
  <si>
    <t>(WEB exp Settl)</t>
  </si>
  <si>
    <t>Total Volume</t>
  </si>
  <si>
    <t>Total Value</t>
  </si>
  <si>
    <t>Expected Settlement  (Polaris)</t>
  </si>
  <si>
    <t>Pos vol</t>
  </si>
  <si>
    <t>Pos value</t>
  </si>
  <si>
    <t>Web vol</t>
  </si>
  <si>
    <t>Web value</t>
  </si>
  <si>
    <t>Reference</t>
  </si>
  <si>
    <t>Merchant Name</t>
  </si>
  <si>
    <t>Payment Method</t>
  </si>
  <si>
    <t>Payment Source</t>
  </si>
  <si>
    <t>Description</t>
  </si>
  <si>
    <t>Currency</t>
  </si>
  <si>
    <t>Amount</t>
  </si>
  <si>
    <t>Charges</t>
  </si>
  <si>
    <t>Blusalt Charge</t>
  </si>
  <si>
    <t>Stamp Duty</t>
  </si>
  <si>
    <t>Status</t>
  </si>
  <si>
    <t>Transaction Date</t>
  </si>
  <si>
    <t>wbxhjR2CkNJUusXGq54hb</t>
  </si>
  <si>
    <t>fumdam store</t>
  </si>
  <si>
    <t>card</t>
  </si>
  <si>
    <t>pos</t>
  </si>
  <si>
    <t>NGN</t>
  </si>
  <si>
    <t>successful</t>
  </si>
  <si>
    <t>2026-01-01T20:42:41.381Z</t>
  </si>
  <si>
    <t>EqzQ4bIcelKDtet7ES87i</t>
  </si>
  <si>
    <t>CHICHI FASHION DESIGNER</t>
  </si>
  <si>
    <t>2026-01-01T18:29:16.135Z</t>
  </si>
  <si>
    <t>rjgDVfG_92yNoLJZFryxB</t>
  </si>
  <si>
    <t>2026-01-01T18:10:06.737Z</t>
  </si>
  <si>
    <t>UZghQdkharpQ3F1D2AFT_</t>
  </si>
  <si>
    <t>2026-01-01T16:59:20.911Z</t>
  </si>
  <si>
    <t>5SSXdyzAZF9VJhEbekTZ0</t>
  </si>
  <si>
    <t>2026-01-01T15:18:44.722Z</t>
  </si>
  <si>
    <t>30mBviUNJxoG6UMEtpB4B</t>
  </si>
  <si>
    <t>2026-01-01T12:26:31.312Z</t>
  </si>
  <si>
    <t>xyR2Jkchm95cLn860O-zq</t>
  </si>
  <si>
    <t xml:space="preserve">Mr Chuks Catering Service </t>
  </si>
  <si>
    <t>2026-01-01T11:03:14.111Z</t>
  </si>
  <si>
    <t>IfQ_16NKOfpKTbBePN9Vn</t>
  </si>
  <si>
    <t>2026-01-01T08:09:18.241Z</t>
  </si>
  <si>
    <t>iCsZHLR9bSvItQ7pdTME4</t>
  </si>
  <si>
    <t>2026-01-01T07:00:23.503Z</t>
  </si>
  <si>
    <t>Vat</t>
  </si>
  <si>
    <t>Settlement Due</t>
  </si>
  <si>
    <t>Net to CBI</t>
  </si>
  <si>
    <t>EaEuI1xxLsbr1IaeF-Iq3</t>
  </si>
  <si>
    <t>2026-01-02T21:38:11.107Z</t>
  </si>
  <si>
    <t>x4cADtYkqoTgchk05YG6b</t>
  </si>
  <si>
    <t>2026-01-02T16:09:29.016Z</t>
  </si>
  <si>
    <t>M3i3YcUcR4Kn4J7GpLybT</t>
  </si>
  <si>
    <t>2026-01-02T15:17:01.695Z</t>
  </si>
  <si>
    <t>eVA6WIY1EzwQzXDLss7c5</t>
  </si>
  <si>
    <t>2026-01-02T10:15:41.168Z</t>
  </si>
  <si>
    <t>xa2tjpKzUYEd3aMcPQrds</t>
  </si>
  <si>
    <t>2026-01-02T09:35:02.763Z</t>
  </si>
  <si>
    <t>YFFySmevz0Vf6vUhm8Ws_</t>
  </si>
  <si>
    <t>2026-01-03T22:09:06.644Z</t>
  </si>
  <si>
    <t>wGX1WXChzHOIAqFODIhsF</t>
  </si>
  <si>
    <t xml:space="preserve">DON ECUS MOBILE VENTURES </t>
  </si>
  <si>
    <t>2026-01-03T19:08:34.969Z</t>
  </si>
  <si>
    <t>AObnUgEGZsKKil3iv8reL</t>
  </si>
  <si>
    <t>2026-01-03T16:50:18.585Z</t>
  </si>
  <si>
    <t>eSwclvFjmnJI-MXcXLEot</t>
  </si>
  <si>
    <t>2026-01-03T15:02:48.774Z</t>
  </si>
  <si>
    <t>o9j7fSJPZuW9yOXKXxE_a</t>
  </si>
  <si>
    <t>2026-01-03T13:14:46.047Z</t>
  </si>
  <si>
    <t>1VhEopL2NOiEHEddRO87M</t>
  </si>
  <si>
    <t>2026-01-03T13:00:11.246Z</t>
  </si>
  <si>
    <t>jSU_lxArdG2pSWC2HjYAS</t>
  </si>
  <si>
    <t>2026-01-03T11:15:58.255Z</t>
  </si>
  <si>
    <t>RAIEMrGCJYdUW9dsyws1K</t>
  </si>
  <si>
    <t>2026-01-03T10:33:15.866Z</t>
  </si>
  <si>
    <t>dv6eOPMG90gyjztGuYKHU</t>
  </si>
  <si>
    <t>2026-01-03T09:51:26.462Z</t>
  </si>
  <si>
    <t>gFpcSW2OroFPa2wOgpk2J</t>
  </si>
  <si>
    <t>2026-01-03T09:49:58.212Z</t>
  </si>
  <si>
    <t>3jQBWyTgpwb9TO85Wmeok</t>
  </si>
  <si>
    <t>2026-01-03T09:24:01.524Z</t>
  </si>
  <si>
    <t>Ga8VTKBnFw61B4oPjJcCB</t>
  </si>
  <si>
    <t>2026-01-03T09:22:17.166Z</t>
  </si>
  <si>
    <t>8JutVzInBVqXQzgyZXtbI</t>
  </si>
  <si>
    <t>2026-01-03T08:44:28.537Z</t>
  </si>
  <si>
    <t>pZnzb1_eYu55fj4FHdLK1</t>
  </si>
  <si>
    <t>2026-01-03T08:39:58.294Z</t>
  </si>
  <si>
    <t>6rO9iLIyEycMyD4Yd5zx3</t>
  </si>
  <si>
    <t>2026-01-03T08:26:57.860Z</t>
  </si>
  <si>
    <t>_h-_NzCzGw4eGeKtOH7DQ</t>
  </si>
  <si>
    <t>2026-01-04T21:07:33.688Z</t>
  </si>
  <si>
    <t>QrBsHYduohSDfqNTkR0CP</t>
  </si>
  <si>
    <t>2026-01-04T19:44:00.724Z</t>
  </si>
  <si>
    <t>Qk6CCGBlpDa57dxTjPGIv</t>
  </si>
  <si>
    <t>2026-01-04T16:53:57.005Z</t>
  </si>
  <si>
    <t>x_E6L0fccDlwIs_6bP6Jo</t>
  </si>
  <si>
    <t>2026-01-04T16:52:17.726Z</t>
  </si>
  <si>
    <t>JC5n6uMXktLrO9j1qHytn</t>
  </si>
  <si>
    <t>2026-01-05T22:21:19.202Z</t>
  </si>
  <si>
    <t>DTwdsE2v7d-SUdRyzYqy9</t>
  </si>
  <si>
    <t>2026-01-05T20:55:08.815Z</t>
  </si>
  <si>
    <t>zTIw75k79hB8QDclPAgWY</t>
  </si>
  <si>
    <t>2026-01-05T18:53:21.363Z</t>
  </si>
  <si>
    <t>lLbYIhN3TH-sE1GUk8h-N</t>
  </si>
  <si>
    <t>2026-01-05T12:31:00.279Z</t>
  </si>
  <si>
    <t>ZU9fPfJpCRwDiLHJy4nKA</t>
  </si>
  <si>
    <t>2026-01-05T11:30:41.810Z</t>
  </si>
  <si>
    <t>vRdlsswx9pWfzY8zRCvEo</t>
  </si>
  <si>
    <t>2026-01-05T11:08:33.969Z</t>
  </si>
  <si>
    <t>eCJ9IuWzmxk546Whm-kCx</t>
  </si>
  <si>
    <t>2026-01-05T07:26:55.260Z</t>
  </si>
  <si>
    <t>L4JMKZ2IMpA4yFVUuf_il</t>
  </si>
  <si>
    <t>2026-01-07T22:34:34.898Z</t>
  </si>
  <si>
    <t>zE5_gcEX915-4kcJvlpnz</t>
  </si>
  <si>
    <t>2026-01-07T19:03:28.273Z</t>
  </si>
  <si>
    <t>LEnELDFVNIeRAJChrLyWn</t>
  </si>
  <si>
    <t>2026-01-07T08:09:45.069Z</t>
  </si>
  <si>
    <t>QukRD6PF4ifq410pLYEJg</t>
  </si>
  <si>
    <t>2026-01-08T22:02:11.580Z</t>
  </si>
  <si>
    <t>EUO0a6Ruwm2dL94jcNoa3</t>
  </si>
  <si>
    <t>2026-01-08T19:51:26.074Z</t>
  </si>
  <si>
    <t>DWizTClAF9y1hLyWw5gZU</t>
  </si>
  <si>
    <t>2026-01-08T19:13:10.768Z</t>
  </si>
  <si>
    <t>22N1SKeEkLsQDlRyoZCUF</t>
  </si>
  <si>
    <t>2026-01-08T14:03:09.378Z</t>
  </si>
  <si>
    <t>SJo2YnOikAQgJ79wmw65Q</t>
  </si>
  <si>
    <t>2026-01-08T09:26:17.260Z</t>
  </si>
  <si>
    <t>wT6CnrEArQOHSpEGMk5g4</t>
  </si>
  <si>
    <t>2026-01-08T07:25:44.538Z</t>
  </si>
  <si>
    <t>jOkcjFLr8PAHXL23HeWcA</t>
  </si>
  <si>
    <t>2026-01-09T22:09:27.012Z</t>
  </si>
  <si>
    <t>XNq3e2DrtW_YD8eBellhK</t>
  </si>
  <si>
    <t>2026-01-09T20:20:21.797Z</t>
  </si>
  <si>
    <t>dBK1pg7-rj-iQ0acZFg12</t>
  </si>
  <si>
    <t>2026-01-09T19:31:54.882Z</t>
  </si>
  <si>
    <t>MtBZoYGF2ymWV2BE50New</t>
  </si>
  <si>
    <t>2026-01-09T19:16:12.101Z</t>
  </si>
  <si>
    <t>5j1hSBqxjHxJsmbgjRZ47</t>
  </si>
  <si>
    <t>2026-01-09T16:35:18.679Z</t>
  </si>
  <si>
    <t>znxbuhP4jtJAOON29CIVK</t>
  </si>
  <si>
    <t>2026-01-10T20:30:34.314Z</t>
  </si>
  <si>
    <t>1rphYGZp_vxflN_4EUMIV</t>
  </si>
  <si>
    <t>2026-01-10T13:59:06.453Z</t>
  </si>
  <si>
    <t>4XJcT9bH2gVXHr71pHSH0</t>
  </si>
  <si>
    <t>2026-01-11T22:08:11.768Z</t>
  </si>
  <si>
    <t>ZdRGnSX6o4nLTr0qLBLnV</t>
  </si>
  <si>
    <t>2026-01-11T10:41:57.332Z</t>
  </si>
  <si>
    <t>7EplsHinHp03LqRt6Z7rV</t>
  </si>
  <si>
    <t>2026-01-11T09:32:07.323Z</t>
  </si>
  <si>
    <t>pN4kYaZrkSWdFJ0i5nGVv</t>
  </si>
  <si>
    <t>2026-01-11T09:22:14.449Z</t>
  </si>
  <si>
    <t>Sd-8HVA961Qfuij4oNb4J</t>
  </si>
  <si>
    <t>2026-01-11T06:07:34.490Z</t>
  </si>
  <si>
    <t>17XmaFCWW45SSPAHVO33-</t>
  </si>
  <si>
    <t>2026-01-12T22:30:02.691Z</t>
  </si>
  <si>
    <t>TCH-5SG_HOpvN</t>
  </si>
  <si>
    <t>Classy</t>
  </si>
  <si>
    <t>payment-link</t>
  </si>
  <si>
    <t>CARD: TCH-5SG_HOpvN</t>
  </si>
  <si>
    <t>2026-01-12T21:30:52.298Z</t>
  </si>
  <si>
    <t>1llgEA2DwfGZbGKqMmi-_</t>
  </si>
  <si>
    <t>2026-01-12T14:40:46.910Z</t>
  </si>
  <si>
    <t>isOLl5iBOwq7Gf01ViEge</t>
  </si>
  <si>
    <t>2026-01-12T10:36:05.544Z</t>
  </si>
  <si>
    <t>iZiSMNshbHH1sQFvD06OI</t>
  </si>
  <si>
    <t>2026-01-12T10:03:18.716Z</t>
  </si>
  <si>
    <t>D-0dAfkwieOBuMQ56oqld</t>
  </si>
  <si>
    <t>2026-01-12T06:54:47.117Z</t>
  </si>
  <si>
    <t>eM0qARIJU_5ef07utEmgc</t>
  </si>
  <si>
    <t>2026-01-13T22:00:49.616Z</t>
  </si>
  <si>
    <t>dSpKRVeZo6gT5vVrqRRY8</t>
  </si>
  <si>
    <t>2026-01-13T19:18:40.609Z</t>
  </si>
  <si>
    <t>dRPO5g-0rcLAP4hz2aLMl</t>
  </si>
  <si>
    <t>2026-01-13T19:05:14.033Z</t>
  </si>
  <si>
    <t>onLeWrZ5oVaa07eUjvzDx</t>
  </si>
  <si>
    <t>2026-01-13T11:45:01.962Z</t>
  </si>
  <si>
    <t>wpiUsubpGc2EBJAnXx64c</t>
  </si>
  <si>
    <t>2026-01-13T11:31:05.723Z</t>
  </si>
  <si>
    <t xml:space="preserve">  </t>
  </si>
  <si>
    <t>VAT</t>
  </si>
  <si>
    <t>vCyOUN99UUVGALNdCEtS5</t>
  </si>
  <si>
    <t>2026-01-14T21:17:23.820Z</t>
  </si>
  <si>
    <t>PXZLzqfq-HNfi9wNgPBkA</t>
  </si>
  <si>
    <t>2026-01-14T18:51:39.483Z</t>
  </si>
  <si>
    <t>5lNwr2yS5PnWUhNWv0Mru</t>
  </si>
  <si>
    <t>2026-01-14T12:50:04.090Z</t>
  </si>
  <si>
    <t>qyN9-m99fRYqBmJxby7Ip</t>
  </si>
  <si>
    <t>2026-01-14T11:45:57.582Z</t>
  </si>
  <si>
    <t>kKB4pwTOHsxD4RR1ASP3X</t>
  </si>
  <si>
    <t>2026-01-14T06:52:39.921Z</t>
  </si>
  <si>
    <t>NHn7qI0nYHwvrNAf60PZq</t>
  </si>
  <si>
    <t>2026-01-15T21:21:29.267Z</t>
  </si>
  <si>
    <t>kre6Ps-IMvFQyyuhptvxs</t>
  </si>
  <si>
    <t>2026-01-15T19:54:03.736Z</t>
  </si>
  <si>
    <t>a566JC8j3Tr_qNw4cfmGu</t>
  </si>
  <si>
    <t>2026-01-15T18:17:10.827Z</t>
  </si>
  <si>
    <t>IOiMNTJuDF3nxmywgfnDF</t>
  </si>
  <si>
    <t>2026-01-15T06:34:08.334Z</t>
  </si>
  <si>
    <t>JJZ9P5rCRUxnu5gR0Ff-w</t>
  </si>
  <si>
    <t>2026-01-16T21:44:03.462Z</t>
  </si>
  <si>
    <t>cpVJim2qAsSXwQo-t45Pn</t>
  </si>
  <si>
    <t>2026-01-16T15:55:36.828Z</t>
  </si>
  <si>
    <t>cgJc1n_p030yOySQ9EP3O</t>
  </si>
  <si>
    <t>2026-01-16T15:05:18.336Z</t>
  </si>
  <si>
    <t>dDg7e0a2cik1Yugv-fkbj</t>
  </si>
  <si>
    <t>2026-01-16T13:02:08.292Z</t>
  </si>
  <si>
    <t>RpeS9jBqOBuU4F8JxUZ3J</t>
  </si>
  <si>
    <t>2026-01-16T11:55:55.945Z</t>
  </si>
  <si>
    <t>suBVKdDJXhrK4fJIU7BH7</t>
  </si>
  <si>
    <t>2026-01-16T10:45:26.022Z</t>
  </si>
  <si>
    <t>Or4QfUB90rGQB7GrL_23u</t>
  </si>
  <si>
    <t>2026-01-16T10:37:56.382Z</t>
  </si>
  <si>
    <t>y5xUp3sUOOua5nFlvTDHI</t>
  </si>
  <si>
    <t>2026-01-16T06:57:22.796Z</t>
  </si>
  <si>
    <t>cCLJsV0fjNXZ3-I0vbPnV</t>
  </si>
  <si>
    <t>2026-01-17T22:38:04.203Z</t>
  </si>
  <si>
    <t>dM--xgn1AEjK-sx96FzPF</t>
  </si>
  <si>
    <t>2026-01-17T20:48:03.914Z</t>
  </si>
  <si>
    <t>UF77P47bG7xJUZQ1Hj0nW</t>
  </si>
  <si>
    <t>2026-01-17T20:04:09.070Z</t>
  </si>
  <si>
    <t>pI_tPryyoJhT6rTZxMj5a</t>
  </si>
  <si>
    <t>2026-01-18T20:42:06.169Z</t>
  </si>
  <si>
    <t>8jHGIH3y7ecvY0vfWL7dT</t>
  </si>
  <si>
    <t>2026-01-18T19:47:28.871Z</t>
  </si>
  <si>
    <t>FWkkkaCNsJLC8KWBugx7Z</t>
  </si>
  <si>
    <t>2026-01-18T19:29:55.358Z</t>
  </si>
  <si>
    <t>7vZ7XozzpAH1CV-6QTEUg</t>
  </si>
  <si>
    <t>2026-01-18T17:55:50.552Z</t>
  </si>
  <si>
    <t>Jp1jrUYmB2iSKKYBT3xis</t>
  </si>
  <si>
    <t>2026-01-18T16:19:47.346Z</t>
  </si>
  <si>
    <t>r0d1uZXhTKopHef6I1ZNT</t>
  </si>
  <si>
    <t>2026-01-18T16:16:07.333Z</t>
  </si>
  <si>
    <t>N2I6Ib8PW34dgVmck-2FG</t>
  </si>
  <si>
    <t>2026-01-18T16:05:08.247Z</t>
  </si>
  <si>
    <t>pZ2TxJbAb_PEHIcGShhtf</t>
  </si>
  <si>
    <t>2026-01-19T20:13:11.775Z</t>
  </si>
  <si>
    <t>68SzBeoJrTT3pg_XZqhQR</t>
  </si>
  <si>
    <t>2026-01-19T20:04:28.250Z</t>
  </si>
  <si>
    <t>pczLk-ywTY1Nn39bH31oT</t>
  </si>
  <si>
    <t>2026-01-19T19:21:28.994Z</t>
  </si>
  <si>
    <t>9ZI0O3jayTntMdnCIvkAJ</t>
  </si>
  <si>
    <t>2026-01-19T18:59:01.791Z</t>
  </si>
  <si>
    <t>0dSoCT1xQ2LQNlNSN4mp0</t>
  </si>
  <si>
    <t>2026-01-19T08:35:48.590Z</t>
  </si>
  <si>
    <t>QmwnmWbcNlyH20bxfV_XT</t>
  </si>
  <si>
    <t>2026-01-19T07:55:03.144Z</t>
  </si>
  <si>
    <t>oLiLnRz6h-GZPk5GIR89W</t>
  </si>
  <si>
    <t>2026-01-21T19:42:44.282Z</t>
  </si>
  <si>
    <t>ykNua9Yerb6b5QZi0h7af</t>
  </si>
  <si>
    <t>2026-01-21T12:13:01.991Z</t>
  </si>
  <si>
    <t>2JlA9ot05T7G1UPe8ufdf</t>
  </si>
  <si>
    <t>2026-01-21T10:01:26.130Z</t>
  </si>
  <si>
    <t>iScWeztTXvFi-jEA9PHiK</t>
  </si>
  <si>
    <t>2026-01-21T09:36:04.955Z</t>
  </si>
  <si>
    <t>aHBB7zrUhZoU9-q4Dosx-</t>
  </si>
  <si>
    <t>2026-01-21T07:12:01.856Z</t>
  </si>
  <si>
    <t>NO CARD  TRANSACTION</t>
  </si>
  <si>
    <t>tj6FtQDYTex9v7v_Hxz8r</t>
  </si>
  <si>
    <t>2026-01-22T16:05:12.496Z</t>
  </si>
  <si>
    <t>TCH-th2sAUCCM</t>
  </si>
  <si>
    <t>Moonsmile Enterprise</t>
  </si>
  <si>
    <t>payment_collection</t>
  </si>
  <si>
    <t>CARD: TCH-th2sAUCCM</t>
  </si>
  <si>
    <t>2026-01-22T14:24:15.634Z</t>
  </si>
  <si>
    <t>WEB</t>
  </si>
  <si>
    <t>TCH-jSlVnOgLH</t>
  </si>
  <si>
    <t>CARD: TCH-jSlVnOgLH</t>
  </si>
  <si>
    <t>2026-01-23T10:31:15.811Z</t>
  </si>
  <si>
    <t>wxaODlaRganibkWhTDkDh</t>
  </si>
  <si>
    <t>2026-01-23T06:08:47.096Z</t>
  </si>
  <si>
    <t>TCH-g3LXbFxuF</t>
  </si>
  <si>
    <t>payment-page</t>
  </si>
  <si>
    <t>CARD: TCH-g3LXbFxuF</t>
  </si>
  <si>
    <t>2026-01-24T12:24:03.058Z</t>
  </si>
  <si>
    <t>7ARQULHRR7jueS66JPJF_</t>
  </si>
  <si>
    <t>2026-01-25T16:22:40.448Z</t>
  </si>
  <si>
    <t>bbOzAit9fdBGVTJifqhQm</t>
  </si>
  <si>
    <t>2026-01-25T16:02:44.638Z</t>
  </si>
  <si>
    <t>k6j5TY0YJV51fzDFwBHRT</t>
  </si>
  <si>
    <t>2026-01-26T10:12:56.372Z</t>
  </si>
  <si>
    <t>C75kpI5YcLIKra-HBayFt</t>
  </si>
  <si>
    <t>2026-01-26T07:13:08.421Z</t>
  </si>
  <si>
    <t>HadAg8r5jr855269FseDL</t>
  </si>
  <si>
    <t>2026-01-26T07:01:04.983Z</t>
  </si>
  <si>
    <t>lkcXwHCx9kcFqG-x9_Ej5</t>
  </si>
  <si>
    <t>2026-01-27T20:27:32.856Z</t>
  </si>
  <si>
    <t>vgdr_dtsrxTxdTp5nTMEw</t>
  </si>
  <si>
    <t>2026-01-27T20:05:26.142Z</t>
  </si>
  <si>
    <t>KisG3AOPAQrLlAW2dK8Mo</t>
  </si>
  <si>
    <t>2026-01-27T18:48:34.551Z</t>
  </si>
  <si>
    <t>NO TRANSACTION</t>
  </si>
  <si>
    <t>2mw3tD84x5DwupIXX_0_P</t>
  </si>
  <si>
    <t>2026-01-31T13:37:55.158Z</t>
  </si>
  <si>
    <t>lLnjD8D6kbhrnOLAnxpJT</t>
  </si>
  <si>
    <t>2026-01-31T12:16:13.203Z</t>
  </si>
  <si>
    <t>EkKFCpcgc-M57tbbZVaFu</t>
  </si>
  <si>
    <t>2026-01-31T08:59:25.068Z</t>
  </si>
  <si>
    <t>gYs35gVU1YPOnOD_FXojV</t>
  </si>
  <si>
    <t>2026-01-31T08:55:38.538Z</t>
  </si>
  <si>
    <t>Data was available after two weeks</t>
  </si>
  <si>
    <t>Note</t>
  </si>
  <si>
    <t>e2hT3C6vC7_AICH4IFZTU</t>
  </si>
  <si>
    <t>2026-01-29T13:14:51.638Z</t>
  </si>
  <si>
    <t>kjxe32_GhEMhVM05iO-Xv</t>
  </si>
  <si>
    <t>2026-01-29T11:48:27.656Z</t>
  </si>
  <si>
    <t>MvIVvAa4r_g0Fur5XwVLw</t>
  </si>
  <si>
    <t>2026-01-28T17:21:47.937Z</t>
  </si>
  <si>
    <t>ouMZS5GJuUjXVBOoRbuh7</t>
  </si>
  <si>
    <t>2026-01-28T17:13:49.183Z</t>
  </si>
  <si>
    <t>C_dCnK2GTMPtiG6wg2IJl</t>
  </si>
  <si>
    <t>2026-01-28T16:29:15.394Z</t>
  </si>
  <si>
    <t>utnf0d9f9MmNIejDczW-1</t>
  </si>
  <si>
    <t>2026-01-28T15:46:17.939Z</t>
  </si>
  <si>
    <t>2026-01-28T10:05:31.522Z</t>
  </si>
  <si>
    <t>4vzTkxPoE5IbmzyeXP9KO</t>
  </si>
  <si>
    <t>2026-01-28T09:45:39.773Z</t>
  </si>
  <si>
    <t>v6WeO8Js3Azg8yzZWq-p6</t>
  </si>
  <si>
    <t>2026-01-28T05:45:52.046Z</t>
  </si>
  <si>
    <t>wXVt8SQZOf7Fo1tMtnVZO</t>
  </si>
  <si>
    <t>2026-01-06T21:52:15.741Z</t>
  </si>
  <si>
    <t>Sz-ysjaXs8EflRwRtihZI</t>
  </si>
  <si>
    <t>2026-01-06T18:46:30.685Z</t>
  </si>
  <si>
    <t>v9N1RIVU0Au4N2tkchxtn</t>
  </si>
  <si>
    <t>2026-01-06T15:47:20.947Z</t>
  </si>
  <si>
    <t>7s-4h6riVRUlw6el-MI06</t>
  </si>
  <si>
    <t>2026-01-06T07:08:51.059Z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</si>
</sst>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5" borderId="0" applyNumberFormat="0" applyBorder="0" applyAlignment="0" applyProtection="0"/>
    <xf numFmtId="0" fontId="14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6" applyNumberFormat="0" applyAlignment="0" applyProtection="0"/>
    <xf numFmtId="0" fontId="17" fillId="9" borderId="7" applyNumberFormat="0" applyAlignment="0" applyProtection="0"/>
    <xf numFmtId="0" fontId="18" fillId="9" borderId="6" applyNumberFormat="0" applyAlignment="0" applyProtection="0"/>
    <xf numFmtId="0" fontId="19" fillId="0" borderId="8" applyNumberFormat="0" applyFill="0" applyAlignment="0" applyProtection="0"/>
    <xf numFmtId="0" fontId="20" fillId="10" borderId="9" applyNumberFormat="0" applyAlignment="0" applyProtection="0"/>
    <xf numFmtId="0" fontId="21" fillId="0" borderId="0" applyNumberFormat="0" applyFill="0" applyBorder="0" applyAlignment="0" applyProtection="0"/>
    <xf numFmtId="0" fontId="1" fillId="11" borderId="10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11" applyNumberFormat="0" applyFill="0" applyAlignment="0" applyProtection="0"/>
    <xf numFmtId="0" fontId="23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3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3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3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3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3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</cellStyleXfs>
  <cellXfs count="30">
    <xf numFmtId="0" fontId="0" fillId="0" borderId="0" xfId="0"/>
    <xf numFmtId="15" fontId="6" fillId="3" borderId="1" xfId="2" applyNumberFormat="1" applyFont="1" applyFill="1" applyBorder="1" applyAlignment="1">
      <alignment horizontal="left"/>
    </xf>
    <xf numFmtId="0" fontId="6" fillId="4" borderId="1" xfId="0" applyFont="1" applyFill="1" applyBorder="1"/>
    <xf numFmtId="43" fontId="6" fillId="4" borderId="1" xfId="1" applyFont="1" applyFill="1" applyBorder="1"/>
    <xf numFmtId="164" fontId="7" fillId="2" borderId="1" xfId="1" applyNumberFormat="1" applyFont="1" applyFill="1" applyBorder="1"/>
    <xf numFmtId="43" fontId="7" fillId="2" borderId="1" xfId="1" applyFont="1" applyFill="1" applyBorder="1"/>
    <xf numFmtId="0" fontId="7" fillId="2" borderId="1" xfId="0" applyFont="1" applyFill="1" applyBorder="1"/>
    <xf numFmtId="0" fontId="1" fillId="0" borderId="0" xfId="0" applyFont="1"/>
    <xf numFmtId="14" fontId="8" fillId="0" borderId="1" xfId="0" applyNumberFormat="1" applyFont="1" applyBorder="1"/>
    <xf numFmtId="0" fontId="1" fillId="0" borderId="1" xfId="0" applyFont="1" applyBorder="1"/>
    <xf numFmtId="43" fontId="1" fillId="0" borderId="1" xfId="1" applyFont="1" applyBorder="1"/>
    <xf numFmtId="164" fontId="1" fillId="0" borderId="1" xfId="1" applyNumberFormat="1" applyFont="1" applyBorder="1"/>
    <xf numFmtId="0" fontId="8" fillId="0" borderId="1" xfId="0" applyFont="1" applyBorder="1"/>
    <xf numFmtId="43" fontId="8" fillId="0" borderId="1" xfId="0" applyNumberFormat="1" applyFont="1" applyBorder="1"/>
    <xf numFmtId="43" fontId="1" fillId="0" borderId="1" xfId="0" applyNumberFormat="1" applyFont="1" applyBorder="1"/>
    <xf numFmtId="0" fontId="2" fillId="0" borderId="0" xfId="0" applyFont="1"/>
    <xf numFmtId="0" fontId="5" fillId="0" borderId="2" xfId="0" applyFont="1" applyBorder="1"/>
    <xf numFmtId="43" fontId="5" fillId="0" borderId="2" xfId="1" applyFont="1" applyBorder="1"/>
    <xf numFmtId="43" fontId="5" fillId="0" borderId="2" xfId="0" applyNumberFormat="1" applyFont="1" applyBorder="1"/>
    <xf numFmtId="43" fontId="1" fillId="0" borderId="0" xfId="1" applyFont="1"/>
    <xf numFmtId="164" fontId="1" fillId="0" borderId="0" xfId="1" applyNumberFormat="1" applyFont="1"/>
    <xf numFmtId="43" fontId="2" fillId="0" borderId="0" xfId="1" applyFont="1"/>
    <xf numFmtId="43" fontId="0" fillId="0" borderId="0" xfId="1" applyFont="1"/>
    <xf numFmtId="0" fontId="5" fillId="0" borderId="0" xfId="0" applyFont="1"/>
    <xf numFmtId="43" fontId="5" fillId="0" borderId="0" xfId="0" applyNumberFormat="1" applyFont="1"/>
    <xf numFmtId="43" fontId="0" fillId="0" borderId="0" xfId="0" applyNumberFormat="1"/>
    <xf numFmtId="43" fontId="2" fillId="0" borderId="0" xfId="0" applyNumberFormat="1" applyFont="1"/>
    <xf numFmtId="43" fontId="4" fillId="2" borderId="2" xfId="0" applyNumberFormat="1" applyFont="1" applyFill="1" applyBorder="1"/>
    <xf numFmtId="164" fontId="5" fillId="0" borderId="0" xfId="0" applyNumberFormat="1" applyFont="1"/>
    <xf numFmtId="43" fontId="5" fillId="0" borderId="0" xfId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omma 4" xfId="3" xr:uid="{175E95F9-0AFF-44A8-AE18-38F197ACFED7}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3" xfId="2" xr:uid="{4650834B-263B-41CF-8407-7864F03DB3CC}"/>
    <cellStyle name="Note" xfId="18" builtinId="10" customBuiltin="1"/>
    <cellStyle name="Output" xfId="13" builtinId="21" customBuiltin="1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7DB8E-BDE2-438A-9C6A-F551C8AC5D68}">
  <dimension ref="A1:I39"/>
  <sheetViews>
    <sheetView workbookViewId="0">
      <selection activeCell="I2" sqref="I2"/>
    </sheetView>
  </sheetViews>
  <sheetFormatPr defaultColWidth="8.77734375" defaultRowHeight="14.4" x14ac:dyDescent="0.3"/>
  <cols>
    <col min="1" max="1" width="14" style="7" customWidth="1"/>
    <col min="2" max="2" width="15.5546875" style="7" customWidth="1"/>
    <col min="3" max="3" width="16.44140625" style="7" customWidth="1"/>
    <col min="4" max="4" width="18.109375" style="7" customWidth="1"/>
    <col min="5" max="6" width="17.77734375" style="19" customWidth="1"/>
    <col min="7" max="7" width="16.33203125" style="20" customWidth="1"/>
    <col min="8" max="8" width="15.6640625" style="19" customWidth="1"/>
    <col min="9" max="9" width="26.77734375" style="7" customWidth="1"/>
    <col min="10" max="16384" width="8.77734375" style="7"/>
  </cols>
  <sheetData>
    <row r="1" spans="1:9" x14ac:dyDescent="0.3">
      <c r="A1" s="1" t="s">
        <v>0</v>
      </c>
      <c r="B1" s="2" t="s">
        <v>2</v>
      </c>
      <c r="C1" s="2" t="s">
        <v>3</v>
      </c>
      <c r="D1" s="2" t="s">
        <v>4</v>
      </c>
      <c r="E1" s="3" t="s">
        <v>5</v>
      </c>
      <c r="F1" s="3" t="s">
        <v>6</v>
      </c>
      <c r="G1" s="4" t="s">
        <v>7</v>
      </c>
      <c r="H1" s="5" t="s">
        <v>8</v>
      </c>
      <c r="I1" s="6" t="s">
        <v>9</v>
      </c>
    </row>
    <row r="2" spans="1:9" x14ac:dyDescent="0.3">
      <c r="A2" s="8">
        <v>46023</v>
      </c>
      <c r="B2" s="9">
        <v>9</v>
      </c>
      <c r="C2" s="10">
        <f>'01-01-2026'!G11</f>
        <v>358100</v>
      </c>
      <c r="D2" s="10">
        <v>0</v>
      </c>
      <c r="E2" s="10">
        <v>0</v>
      </c>
      <c r="F2" s="10">
        <v>0</v>
      </c>
      <c r="G2" s="11">
        <f>B2+D2</f>
        <v>9</v>
      </c>
      <c r="H2" s="10">
        <f>C2+E2</f>
        <v>358100</v>
      </c>
      <c r="I2" s="10">
        <f>'01-01-2026'!J11</f>
        <v>356716.47500000003</v>
      </c>
    </row>
    <row r="3" spans="1:9" x14ac:dyDescent="0.3">
      <c r="A3" s="8">
        <v>46024</v>
      </c>
      <c r="B3" s="12">
        <v>5</v>
      </c>
      <c r="C3" s="13">
        <f>'02-01-2026'!G7</f>
        <v>41500</v>
      </c>
      <c r="D3" s="10">
        <v>0</v>
      </c>
      <c r="E3" s="10">
        <v>0</v>
      </c>
      <c r="F3" s="10">
        <v>0</v>
      </c>
      <c r="G3" s="11">
        <f t="shared" ref="G3:G32" si="0">B3+D3</f>
        <v>5</v>
      </c>
      <c r="H3" s="10">
        <f t="shared" ref="H3:I32" si="1">C3+E3</f>
        <v>41500</v>
      </c>
      <c r="I3" s="10">
        <f>'02-01-2026'!J7</f>
        <v>41276.9375</v>
      </c>
    </row>
    <row r="4" spans="1:9" x14ac:dyDescent="0.3">
      <c r="A4" s="8">
        <v>46025</v>
      </c>
      <c r="B4" s="9">
        <v>15</v>
      </c>
      <c r="C4" s="10">
        <f>'03-01-2026'!G17</f>
        <v>127000</v>
      </c>
      <c r="D4" s="10">
        <v>0</v>
      </c>
      <c r="E4" s="10">
        <v>0</v>
      </c>
      <c r="F4" s="10">
        <v>0</v>
      </c>
      <c r="G4" s="11">
        <f t="shared" si="0"/>
        <v>15</v>
      </c>
      <c r="H4" s="10">
        <f t="shared" si="1"/>
        <v>127000</v>
      </c>
      <c r="I4" s="10">
        <f>'03-01-2026'!J17</f>
        <v>126317.37499999999</v>
      </c>
    </row>
    <row r="5" spans="1:9" x14ac:dyDescent="0.3">
      <c r="A5" s="8">
        <v>46026</v>
      </c>
      <c r="B5" s="12">
        <v>4</v>
      </c>
      <c r="C5" s="13">
        <f>'04-01-2026'!G6</f>
        <v>25200</v>
      </c>
      <c r="D5" s="10">
        <v>0</v>
      </c>
      <c r="E5" s="10">
        <v>0</v>
      </c>
      <c r="F5" s="10">
        <v>0</v>
      </c>
      <c r="G5" s="11">
        <f t="shared" si="0"/>
        <v>4</v>
      </c>
      <c r="H5" s="10">
        <f t="shared" si="1"/>
        <v>25200</v>
      </c>
      <c r="I5" s="10">
        <f>'04-01-2026'!J6</f>
        <v>25064.55</v>
      </c>
    </row>
    <row r="6" spans="1:9" x14ac:dyDescent="0.3">
      <c r="A6" s="8">
        <v>46027</v>
      </c>
      <c r="B6" s="9">
        <v>7</v>
      </c>
      <c r="C6" s="10">
        <f>'05-01-2026'!G9</f>
        <v>23400</v>
      </c>
      <c r="D6" s="10">
        <v>0</v>
      </c>
      <c r="E6" s="10">
        <v>0</v>
      </c>
      <c r="F6" s="10">
        <v>0</v>
      </c>
      <c r="G6" s="11">
        <f t="shared" si="0"/>
        <v>7</v>
      </c>
      <c r="H6" s="10">
        <f t="shared" si="1"/>
        <v>23400</v>
      </c>
      <c r="I6" s="10">
        <f>'05-01-2026'!J9</f>
        <v>23274.224999999999</v>
      </c>
    </row>
    <row r="7" spans="1:9" x14ac:dyDescent="0.3">
      <c r="A7" s="8">
        <v>46028</v>
      </c>
      <c r="B7" s="9">
        <v>4</v>
      </c>
      <c r="C7" s="10">
        <f>'06-01-2026'!G6</f>
        <v>28900</v>
      </c>
      <c r="D7" s="10">
        <v>0</v>
      </c>
      <c r="E7" s="10">
        <v>0</v>
      </c>
      <c r="F7" s="10">
        <v>0</v>
      </c>
      <c r="G7" s="11">
        <f t="shared" si="0"/>
        <v>4</v>
      </c>
      <c r="H7" s="10">
        <f t="shared" si="1"/>
        <v>28900</v>
      </c>
      <c r="I7" s="10">
        <f>'06-01-2026'!J6</f>
        <v>28744.662499999999</v>
      </c>
    </row>
    <row r="8" spans="1:9" x14ac:dyDescent="0.3">
      <c r="A8" s="8">
        <v>46029</v>
      </c>
      <c r="B8" s="9">
        <v>3</v>
      </c>
      <c r="C8" s="10">
        <f>'07-01-2026'!G5</f>
        <v>19100</v>
      </c>
      <c r="D8" s="10">
        <v>0</v>
      </c>
      <c r="E8" s="10">
        <v>0</v>
      </c>
      <c r="F8" s="10">
        <v>0</v>
      </c>
      <c r="G8" s="11">
        <f t="shared" si="0"/>
        <v>3</v>
      </c>
      <c r="H8" s="10">
        <f t="shared" si="1"/>
        <v>19100</v>
      </c>
      <c r="I8" s="10">
        <f>'07-01-2026'!J5</f>
        <v>18997.337500000001</v>
      </c>
    </row>
    <row r="9" spans="1:9" x14ac:dyDescent="0.3">
      <c r="A9" s="8">
        <v>46030</v>
      </c>
      <c r="B9" s="9">
        <v>6</v>
      </c>
      <c r="C9" s="10">
        <f>'08-01-2026'!G8</f>
        <v>34300</v>
      </c>
      <c r="D9" s="10">
        <v>0</v>
      </c>
      <c r="E9" s="10">
        <v>0</v>
      </c>
      <c r="F9" s="10">
        <v>0</v>
      </c>
      <c r="G9" s="11">
        <f t="shared" si="0"/>
        <v>6</v>
      </c>
      <c r="H9" s="10">
        <f t="shared" si="1"/>
        <v>34300</v>
      </c>
      <c r="I9" s="10">
        <f>'08-01-2026'!J8</f>
        <v>34115.637499999997</v>
      </c>
    </row>
    <row r="10" spans="1:9" x14ac:dyDescent="0.3">
      <c r="A10" s="8">
        <v>46031</v>
      </c>
      <c r="B10" s="9">
        <v>5</v>
      </c>
      <c r="C10" s="13">
        <f>'09-01-2026'!G7</f>
        <v>30600</v>
      </c>
      <c r="D10" s="10">
        <v>0</v>
      </c>
      <c r="E10" s="10">
        <v>0</v>
      </c>
      <c r="F10" s="10">
        <v>0</v>
      </c>
      <c r="G10" s="11">
        <f t="shared" si="0"/>
        <v>5</v>
      </c>
      <c r="H10" s="10">
        <f t="shared" si="1"/>
        <v>30600</v>
      </c>
      <c r="I10" s="10">
        <f>'09-01-2026'!J7</f>
        <v>30435.524999999998</v>
      </c>
    </row>
    <row r="11" spans="1:9" x14ac:dyDescent="0.3">
      <c r="A11" s="8">
        <v>46032</v>
      </c>
      <c r="B11" s="12">
        <v>2</v>
      </c>
      <c r="C11" s="13">
        <f>'10-01-2026'!G4</f>
        <v>15100</v>
      </c>
      <c r="D11" s="10">
        <v>0</v>
      </c>
      <c r="E11" s="10">
        <v>0</v>
      </c>
      <c r="F11" s="10">
        <v>0</v>
      </c>
      <c r="G11" s="11">
        <f t="shared" si="0"/>
        <v>2</v>
      </c>
      <c r="H11" s="10">
        <f t="shared" si="1"/>
        <v>15100</v>
      </c>
      <c r="I11" s="10">
        <f>'10-01-2026'!J4</f>
        <v>15018.8375</v>
      </c>
    </row>
    <row r="12" spans="1:9" x14ac:dyDescent="0.3">
      <c r="A12" s="8">
        <v>46033</v>
      </c>
      <c r="B12" s="12">
        <v>5</v>
      </c>
      <c r="C12" s="13">
        <f>'11-01-2026'!G7</f>
        <v>26600</v>
      </c>
      <c r="D12" s="10">
        <v>0</v>
      </c>
      <c r="E12" s="10">
        <v>0</v>
      </c>
      <c r="F12" s="10">
        <v>0</v>
      </c>
      <c r="G12" s="11">
        <f t="shared" si="0"/>
        <v>5</v>
      </c>
      <c r="H12" s="10">
        <f t="shared" si="1"/>
        <v>26600</v>
      </c>
      <c r="I12" s="10">
        <f>'11-01-2026'!J7</f>
        <v>26457.025000000001</v>
      </c>
    </row>
    <row r="13" spans="1:9" x14ac:dyDescent="0.3">
      <c r="A13" s="8">
        <v>46034</v>
      </c>
      <c r="B13" s="12">
        <v>5</v>
      </c>
      <c r="C13" s="14">
        <f>'12-01-2026'!G7</f>
        <v>33800</v>
      </c>
      <c r="D13" s="12">
        <v>1</v>
      </c>
      <c r="E13" s="10">
        <f>'12-01-2026'!G11</f>
        <v>500</v>
      </c>
      <c r="F13" s="10">
        <f>'12-01-2026'!J11</f>
        <v>491.9375</v>
      </c>
      <c r="G13" s="11">
        <f t="shared" si="0"/>
        <v>6</v>
      </c>
      <c r="H13" s="10">
        <f>C13+E13</f>
        <v>34300</v>
      </c>
      <c r="I13" s="10">
        <f>F13+'12-01-2026'!J7</f>
        <v>34110.262499999997</v>
      </c>
    </row>
    <row r="14" spans="1:9" x14ac:dyDescent="0.3">
      <c r="A14" s="8">
        <v>46035</v>
      </c>
      <c r="B14" s="12">
        <v>5</v>
      </c>
      <c r="C14" s="14">
        <f>'13-01-2026'!G7</f>
        <v>62200</v>
      </c>
      <c r="D14" s="10">
        <v>0</v>
      </c>
      <c r="E14" s="10">
        <v>0</v>
      </c>
      <c r="F14" s="10">
        <v>0</v>
      </c>
      <c r="G14" s="11">
        <f t="shared" si="0"/>
        <v>5</v>
      </c>
      <c r="H14" s="10">
        <f t="shared" si="1"/>
        <v>62200</v>
      </c>
      <c r="I14" s="10">
        <f>'13-01-2026'!J7</f>
        <v>61865.675000000003</v>
      </c>
    </row>
    <row r="15" spans="1:9" x14ac:dyDescent="0.3">
      <c r="A15" s="8">
        <v>46036</v>
      </c>
      <c r="B15" s="12">
        <v>5</v>
      </c>
      <c r="C15" s="13">
        <f>'14-01-2026'!G7</f>
        <v>94800</v>
      </c>
      <c r="D15" s="10">
        <v>0</v>
      </c>
      <c r="E15" s="10">
        <v>0</v>
      </c>
      <c r="F15" s="10">
        <v>0</v>
      </c>
      <c r="G15" s="11">
        <f t="shared" si="0"/>
        <v>5</v>
      </c>
      <c r="H15" s="10">
        <f t="shared" si="1"/>
        <v>94800</v>
      </c>
      <c r="I15" s="10">
        <f>'14-01-2026'!J7</f>
        <v>94290.45</v>
      </c>
    </row>
    <row r="16" spans="1:9" x14ac:dyDescent="0.3">
      <c r="A16" s="8">
        <v>46037</v>
      </c>
      <c r="B16" s="12">
        <v>4</v>
      </c>
      <c r="C16" s="14">
        <f>'15-01-2026'!G6</f>
        <v>32200</v>
      </c>
      <c r="D16" s="10">
        <v>0</v>
      </c>
      <c r="E16" s="10">
        <v>0</v>
      </c>
      <c r="F16" s="10">
        <v>0</v>
      </c>
      <c r="G16" s="11">
        <f t="shared" si="0"/>
        <v>4</v>
      </c>
      <c r="H16" s="10">
        <f t="shared" si="1"/>
        <v>32200</v>
      </c>
      <c r="I16" s="10">
        <f>'15-01-2026'!J6</f>
        <v>32026.924999999999</v>
      </c>
    </row>
    <row r="17" spans="1:9" x14ac:dyDescent="0.3">
      <c r="A17" s="8">
        <v>46038</v>
      </c>
      <c r="B17" s="9">
        <v>8</v>
      </c>
      <c r="C17" s="14">
        <f>'16-01-2026'!G10</f>
        <v>117800</v>
      </c>
      <c r="D17" s="10">
        <v>0</v>
      </c>
      <c r="E17" s="10">
        <v>0</v>
      </c>
      <c r="F17" s="10">
        <v>0</v>
      </c>
      <c r="G17" s="11">
        <f>B17+D17</f>
        <v>8</v>
      </c>
      <c r="H17" s="10">
        <f t="shared" si="1"/>
        <v>117800</v>
      </c>
      <c r="I17" s="10">
        <f>'16-01-2026'!J10</f>
        <v>117166.825</v>
      </c>
    </row>
    <row r="18" spans="1:9" x14ac:dyDescent="0.3">
      <c r="A18" s="8">
        <v>46039</v>
      </c>
      <c r="B18" s="12">
        <v>3</v>
      </c>
      <c r="C18" s="13">
        <f>'17-01-2026'!G5</f>
        <v>23100</v>
      </c>
      <c r="D18" s="10">
        <v>0</v>
      </c>
      <c r="E18" s="10">
        <v>0</v>
      </c>
      <c r="F18" s="10">
        <v>0</v>
      </c>
      <c r="G18" s="11">
        <f t="shared" si="0"/>
        <v>3</v>
      </c>
      <c r="H18" s="10">
        <f t="shared" si="1"/>
        <v>23100</v>
      </c>
      <c r="I18" s="10">
        <f>'17-01-2026'!J5</f>
        <v>22975.837500000001</v>
      </c>
    </row>
    <row r="19" spans="1:9" x14ac:dyDescent="0.3">
      <c r="A19" s="8">
        <v>46040</v>
      </c>
      <c r="B19" s="12">
        <v>7</v>
      </c>
      <c r="C19" s="13">
        <f>'18-01-2026'!G9</f>
        <v>30300</v>
      </c>
      <c r="D19" s="10">
        <v>0</v>
      </c>
      <c r="E19" s="10">
        <v>0</v>
      </c>
      <c r="F19" s="10">
        <v>0</v>
      </c>
      <c r="G19" s="11">
        <f t="shared" si="0"/>
        <v>7</v>
      </c>
      <c r="H19" s="10">
        <f t="shared" si="1"/>
        <v>30300</v>
      </c>
      <c r="I19" s="10">
        <f>'18-01-2026'!J9</f>
        <v>30137.137500000001</v>
      </c>
    </row>
    <row r="20" spans="1:9" x14ac:dyDescent="0.3">
      <c r="A20" s="8">
        <v>46041</v>
      </c>
      <c r="B20" s="12">
        <v>6</v>
      </c>
      <c r="C20" s="13">
        <f>'19-01-2026'!G8</f>
        <v>28500</v>
      </c>
      <c r="D20" s="10">
        <v>0</v>
      </c>
      <c r="E20" s="10">
        <v>0</v>
      </c>
      <c r="F20" s="10">
        <v>0</v>
      </c>
      <c r="G20" s="11">
        <f t="shared" si="0"/>
        <v>6</v>
      </c>
      <c r="H20" s="10">
        <f t="shared" si="1"/>
        <v>28500</v>
      </c>
      <c r="I20" s="10">
        <f>'19-01-2026'!J8</f>
        <v>28346.812499999996</v>
      </c>
    </row>
    <row r="21" spans="1:9" x14ac:dyDescent="0.3">
      <c r="A21" s="8">
        <v>46042</v>
      </c>
      <c r="B21" s="10">
        <v>0</v>
      </c>
      <c r="C21" s="13">
        <v>0</v>
      </c>
      <c r="D21" s="10">
        <v>0</v>
      </c>
      <c r="E21" s="10">
        <v>0</v>
      </c>
      <c r="F21" s="10">
        <v>0</v>
      </c>
      <c r="G21" s="11">
        <f t="shared" si="0"/>
        <v>0</v>
      </c>
      <c r="H21" s="10">
        <f t="shared" si="1"/>
        <v>0</v>
      </c>
      <c r="I21" s="10">
        <f t="shared" si="1"/>
        <v>0</v>
      </c>
    </row>
    <row r="22" spans="1:9" x14ac:dyDescent="0.3">
      <c r="A22" s="8">
        <v>46043</v>
      </c>
      <c r="B22" s="12">
        <v>5</v>
      </c>
      <c r="C22" s="10">
        <f>'21-01-2026'!G7</f>
        <v>30700</v>
      </c>
      <c r="D22" s="10">
        <v>0</v>
      </c>
      <c r="E22" s="10">
        <v>0</v>
      </c>
      <c r="F22" s="10">
        <v>0</v>
      </c>
      <c r="G22" s="11">
        <f t="shared" si="0"/>
        <v>5</v>
      </c>
      <c r="H22" s="10">
        <f t="shared" si="1"/>
        <v>30700</v>
      </c>
      <c r="I22" s="10">
        <f>'21-01-2026'!J7</f>
        <v>30534.987500000003</v>
      </c>
    </row>
    <row r="23" spans="1:9" x14ac:dyDescent="0.3">
      <c r="A23" s="8">
        <v>46044</v>
      </c>
      <c r="B23" s="9">
        <v>1</v>
      </c>
      <c r="C23" s="13">
        <f>'22-01-2026'!G2</f>
        <v>1000</v>
      </c>
      <c r="D23" s="9">
        <v>1</v>
      </c>
      <c r="E23" s="10">
        <f>'22-01-2026'!G7</f>
        <v>500</v>
      </c>
      <c r="F23" s="10">
        <v>491.9375</v>
      </c>
      <c r="G23" s="11">
        <f t="shared" si="0"/>
        <v>2</v>
      </c>
      <c r="H23" s="10">
        <f t="shared" si="1"/>
        <v>1500</v>
      </c>
      <c r="I23" s="10">
        <f>'22-01-2026'!J2+'22-01-2026'!J7</f>
        <v>1486.5625</v>
      </c>
    </row>
    <row r="24" spans="1:9" x14ac:dyDescent="0.3">
      <c r="A24" s="8">
        <v>46045</v>
      </c>
      <c r="B24" s="9">
        <v>1</v>
      </c>
      <c r="C24" s="13">
        <f>'23-01-2026'!G2</f>
        <v>20400</v>
      </c>
      <c r="D24" s="9">
        <v>1</v>
      </c>
      <c r="E24" s="10">
        <f>'23-01-2026'!G8</f>
        <v>500</v>
      </c>
      <c r="F24" s="10">
        <v>491.9375</v>
      </c>
      <c r="G24" s="11">
        <f t="shared" si="0"/>
        <v>2</v>
      </c>
      <c r="H24" s="10">
        <f t="shared" si="1"/>
        <v>20900</v>
      </c>
      <c r="I24" s="10">
        <f>'23-01-2026'!J2+'23-01-2026'!J8</f>
        <v>20782.287499999999</v>
      </c>
    </row>
    <row r="25" spans="1:9" x14ac:dyDescent="0.3">
      <c r="A25" s="8">
        <v>46046</v>
      </c>
      <c r="B25" s="10">
        <v>0</v>
      </c>
      <c r="C25" s="13">
        <v>0</v>
      </c>
      <c r="D25" s="9">
        <v>1</v>
      </c>
      <c r="E25" s="10">
        <f>'24-01-2026'!G3</f>
        <v>500</v>
      </c>
      <c r="F25" s="10">
        <v>491.9375</v>
      </c>
      <c r="G25" s="11">
        <f t="shared" si="0"/>
        <v>1</v>
      </c>
      <c r="H25" s="10">
        <f t="shared" si="1"/>
        <v>500</v>
      </c>
      <c r="I25" s="10">
        <f>'24-01-2026'!J3</f>
        <v>491.9375</v>
      </c>
    </row>
    <row r="26" spans="1:9" x14ac:dyDescent="0.3">
      <c r="A26" s="8">
        <v>46047</v>
      </c>
      <c r="B26" s="9">
        <v>2</v>
      </c>
      <c r="C26" s="13">
        <f>'25-01-2026'!G4</f>
        <v>15100</v>
      </c>
      <c r="D26" s="10">
        <v>0</v>
      </c>
      <c r="E26" s="10">
        <v>0</v>
      </c>
      <c r="F26" s="10">
        <v>0</v>
      </c>
      <c r="G26" s="11">
        <f t="shared" si="0"/>
        <v>2</v>
      </c>
      <c r="H26" s="10">
        <f t="shared" si="1"/>
        <v>15100</v>
      </c>
      <c r="I26" s="10">
        <f>'25-01-2026'!J4</f>
        <v>15018.8375</v>
      </c>
    </row>
    <row r="27" spans="1:9" x14ac:dyDescent="0.3">
      <c r="A27" s="8">
        <v>46048</v>
      </c>
      <c r="B27" s="12">
        <v>3</v>
      </c>
      <c r="C27" s="13">
        <f>'26-01-2026'!G5</f>
        <v>11300</v>
      </c>
      <c r="D27" s="10">
        <v>0</v>
      </c>
      <c r="E27" s="10">
        <v>0</v>
      </c>
      <c r="F27" s="10">
        <v>0</v>
      </c>
      <c r="G27" s="11">
        <f t="shared" si="0"/>
        <v>3</v>
      </c>
      <c r="H27" s="10">
        <f t="shared" si="1"/>
        <v>11300</v>
      </c>
      <c r="I27" s="10">
        <f>'26-01-2026'!J5</f>
        <v>11239.262500000001</v>
      </c>
    </row>
    <row r="28" spans="1:9" x14ac:dyDescent="0.3">
      <c r="A28" s="8">
        <v>46049</v>
      </c>
      <c r="B28" s="12">
        <v>3</v>
      </c>
      <c r="C28" s="13">
        <f>'27-01-2026'!G5</f>
        <v>14000</v>
      </c>
      <c r="D28" s="10">
        <v>0</v>
      </c>
      <c r="E28" s="10">
        <v>0</v>
      </c>
      <c r="F28" s="10">
        <v>0</v>
      </c>
      <c r="G28" s="11">
        <f t="shared" si="0"/>
        <v>3</v>
      </c>
      <c r="H28" s="10">
        <f t="shared" si="1"/>
        <v>14000</v>
      </c>
      <c r="I28" s="10">
        <f>'27-01-2026'!J5</f>
        <v>13924.75</v>
      </c>
    </row>
    <row r="29" spans="1:9" x14ac:dyDescent="0.3">
      <c r="A29" s="8">
        <v>46050</v>
      </c>
      <c r="B29" s="12">
        <v>7</v>
      </c>
      <c r="C29" s="13">
        <f>'28-01-2026'!G9</f>
        <v>38900</v>
      </c>
      <c r="D29" s="10">
        <v>0</v>
      </c>
      <c r="E29" s="10">
        <v>0</v>
      </c>
      <c r="F29" s="10">
        <v>0</v>
      </c>
      <c r="G29" s="11">
        <f t="shared" si="0"/>
        <v>7</v>
      </c>
      <c r="H29" s="10">
        <f t="shared" si="1"/>
        <v>38900</v>
      </c>
      <c r="I29" s="10">
        <f>'28-01-2026'!J9</f>
        <v>38690.912499999999</v>
      </c>
    </row>
    <row r="30" spans="1:9" x14ac:dyDescent="0.3">
      <c r="A30" s="8">
        <v>46051</v>
      </c>
      <c r="B30" s="12">
        <v>2</v>
      </c>
      <c r="C30" s="13">
        <f>'29-01-2026'!G4</f>
        <v>15300</v>
      </c>
      <c r="D30" s="10">
        <v>0</v>
      </c>
      <c r="E30" s="10">
        <v>0</v>
      </c>
      <c r="F30" s="10">
        <v>0</v>
      </c>
      <c r="G30" s="11">
        <f t="shared" si="0"/>
        <v>2</v>
      </c>
      <c r="H30" s="10">
        <f t="shared" si="1"/>
        <v>15300</v>
      </c>
      <c r="I30" s="10">
        <f>'29-01-2026'!J4</f>
        <v>15217.762499999999</v>
      </c>
    </row>
    <row r="31" spans="1:9" x14ac:dyDescent="0.3">
      <c r="A31" s="8">
        <v>46052</v>
      </c>
      <c r="B31" s="10">
        <v>0</v>
      </c>
      <c r="C31" s="13">
        <v>0</v>
      </c>
      <c r="D31" s="10">
        <v>0</v>
      </c>
      <c r="E31" s="10">
        <v>0</v>
      </c>
      <c r="F31" s="10">
        <v>0</v>
      </c>
      <c r="G31" s="11">
        <f t="shared" si="0"/>
        <v>0</v>
      </c>
      <c r="H31" s="10">
        <f t="shared" si="1"/>
        <v>0</v>
      </c>
      <c r="I31" s="10">
        <f t="shared" si="1"/>
        <v>0</v>
      </c>
    </row>
    <row r="32" spans="1:9" x14ac:dyDescent="0.3">
      <c r="A32" s="8">
        <v>46053</v>
      </c>
      <c r="B32" s="12">
        <v>4</v>
      </c>
      <c r="C32" s="13">
        <f>'31-01-2026'!G6</f>
        <v>13700</v>
      </c>
      <c r="D32" s="10">
        <v>0</v>
      </c>
      <c r="E32" s="10">
        <v>0</v>
      </c>
      <c r="F32" s="10">
        <v>0</v>
      </c>
      <c r="G32" s="11">
        <f t="shared" si="0"/>
        <v>4</v>
      </c>
      <c r="H32" s="10">
        <f t="shared" si="1"/>
        <v>13700</v>
      </c>
      <c r="I32" s="10">
        <f>'31-01-2026'!J6</f>
        <v>13626.362499999999</v>
      </c>
    </row>
    <row r="33" spans="1:9" ht="16.2" thickBot="1" x14ac:dyDescent="0.35">
      <c r="A33" s="15" t="s">
        <v>1</v>
      </c>
      <c r="B33" s="16">
        <f>SUM(B2:B32)</f>
        <v>136</v>
      </c>
      <c r="C33" s="17">
        <f t="shared" ref="C33:I33" si="2">SUM(C2:C32)</f>
        <v>1312900</v>
      </c>
      <c r="D33" s="18">
        <f t="shared" si="2"/>
        <v>4</v>
      </c>
      <c r="E33" s="17">
        <f t="shared" si="2"/>
        <v>2000</v>
      </c>
      <c r="F33" s="18">
        <f t="shared" si="2"/>
        <v>1967.75</v>
      </c>
      <c r="G33" s="27">
        <f t="shared" si="2"/>
        <v>140</v>
      </c>
      <c r="H33" s="27">
        <f t="shared" si="2"/>
        <v>1314900</v>
      </c>
      <c r="I33" s="18">
        <f t="shared" si="2"/>
        <v>1308352.175</v>
      </c>
    </row>
    <row r="34" spans="1:9" ht="15" thickTop="1" x14ac:dyDescent="0.3"/>
    <row r="36" spans="1:9" ht="15.6" x14ac:dyDescent="0.3">
      <c r="C36" s="23" t="s">
        <v>10</v>
      </c>
      <c r="D36" s="28">
        <f>B33</f>
        <v>136</v>
      </c>
    </row>
    <row r="37" spans="1:9" ht="15.6" x14ac:dyDescent="0.3">
      <c r="C37" s="23" t="s">
        <v>11</v>
      </c>
      <c r="D37" s="29">
        <f>C33</f>
        <v>1312900</v>
      </c>
    </row>
    <row r="38" spans="1:9" ht="15.6" x14ac:dyDescent="0.3">
      <c r="C38" s="23" t="s">
        <v>12</v>
      </c>
      <c r="D38" s="28">
        <f>D33</f>
        <v>4</v>
      </c>
    </row>
    <row r="39" spans="1:9" ht="15.6" x14ac:dyDescent="0.3">
      <c r="C39" s="23" t="s">
        <v>13</v>
      </c>
      <c r="D39" s="24">
        <f>E33</f>
        <v>2000</v>
      </c>
    </row>
  </sheetData>
  <pageMargins left="0.7" right="0.7" top="0.75" bottom="0.75" header="0.3" footer="0.3"/>
  <headerFooter>
    <oddHeader>&amp;L&amp;"Aptos"&amp;10&amp;K000000 Internal Use Only&amp;1#_x000D_</oddHead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42EE5-7802-488F-8E03-D10EFBF7E625}">
  <dimension ref="A1:O15"/>
  <sheetViews>
    <sheetView tabSelected="1" workbookViewId="0">
      <selection activeCell="O2" sqref="O2"/>
    </sheetView>
  </sheetViews>
  <sheetFormatPr defaultRowHeight="14.4" x14ac:dyDescent="0.3"/>
  <cols>
    <col min="1" max="1" width="29.44140625" customWidth="1"/>
    <col min="2" max="2" width="25.88671875" customWidth="1"/>
    <col min="7" max="7" width="11.21875" style="22" bestFit="1" customWidth="1"/>
    <col min="10" max="10" width="14.6640625" customWidth="1"/>
    <col min="11" max="11" width="12.33203125" customWidth="1"/>
  </cols>
  <sheetData>
    <row r="1" spans="1:15" s="15" customFormat="1" x14ac:dyDescent="0.3">
      <c r="A1" s="15" t="s">
        <v>14</v>
      </c>
      <c r="B1" s="15" t="s">
        <v>15</v>
      </c>
      <c r="C1" s="15" t="s">
        <v>16</v>
      </c>
      <c r="D1" s="15" t="s">
        <v>17</v>
      </c>
      <c r="E1" s="15" t="s">
        <v>18</v>
      </c>
      <c r="F1" s="15" t="s">
        <v>19</v>
      </c>
      <c r="G1" s="21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s="15" t="s">
        <v>23</v>
      </c>
      <c r="N1" s="15" t="s">
        <v>24</v>
      </c>
      <c r="O1" s="15" t="s">
        <v>25</v>
      </c>
    </row>
    <row r="2" spans="1:15" x14ac:dyDescent="0.3">
      <c r="A2" t="s">
        <v>26</v>
      </c>
      <c r="B2" t="s">
        <v>27</v>
      </c>
      <c r="C2" t="s">
        <v>28</v>
      </c>
      <c r="D2" t="s">
        <v>29</v>
      </c>
      <c r="F2" t="s">
        <v>30</v>
      </c>
      <c r="G2" s="22">
        <v>10200</v>
      </c>
      <c r="H2">
        <f>IF(G2&lt;=200000,0.5%*G2,1000)</f>
        <v>51</v>
      </c>
      <c r="I2" s="22">
        <f>7.5%*H2</f>
        <v>3.8249999999999997</v>
      </c>
      <c r="J2" s="22">
        <f>G2-(H2+I2)</f>
        <v>10145.174999999999</v>
      </c>
      <c r="K2" s="22">
        <f>IF( G2&lt;=28550,0.35%*G2,100)</f>
        <v>35.699999999999996</v>
      </c>
      <c r="L2" s="22">
        <f>H2-K2</f>
        <v>15.300000000000004</v>
      </c>
      <c r="N2" t="s">
        <v>31</v>
      </c>
      <c r="O2" t="s">
        <v>32</v>
      </c>
    </row>
    <row r="3" spans="1:15" x14ac:dyDescent="0.3">
      <c r="A3" t="s">
        <v>33</v>
      </c>
      <c r="B3" t="s">
        <v>34</v>
      </c>
      <c r="C3" t="s">
        <v>28</v>
      </c>
      <c r="D3" t="s">
        <v>29</v>
      </c>
      <c r="F3" t="s">
        <v>30</v>
      </c>
      <c r="G3" s="22">
        <v>5100</v>
      </c>
      <c r="H3">
        <f t="shared" ref="H3:H10" si="0">IF(G3&lt;=200000,0.5%*G3,1000)</f>
        <v>25.5</v>
      </c>
      <c r="I3" s="22">
        <f t="shared" ref="I3:I10" si="1">7.5%*H3</f>
        <v>1.9124999999999999</v>
      </c>
      <c r="J3" s="22">
        <f t="shared" ref="J3:J10" si="2">G3-(H3+I3)</f>
        <v>5072.5874999999996</v>
      </c>
      <c r="K3" s="22">
        <f t="shared" ref="K3:K10" si="3">IF( G3&lt;=28550,0.35%*G3,100)</f>
        <v>17.849999999999998</v>
      </c>
      <c r="L3" s="22">
        <f t="shared" ref="L3:L10" si="4">H3-K3</f>
        <v>7.6500000000000021</v>
      </c>
      <c r="N3" t="s">
        <v>31</v>
      </c>
      <c r="O3" t="s">
        <v>35</v>
      </c>
    </row>
    <row r="4" spans="1:15" x14ac:dyDescent="0.3">
      <c r="A4" t="s">
        <v>36</v>
      </c>
      <c r="B4" t="s">
        <v>34</v>
      </c>
      <c r="C4" t="s">
        <v>28</v>
      </c>
      <c r="D4" t="s">
        <v>29</v>
      </c>
      <c r="F4" t="s">
        <v>30</v>
      </c>
      <c r="G4" s="22">
        <v>5200</v>
      </c>
      <c r="H4">
        <f t="shared" si="0"/>
        <v>26</v>
      </c>
      <c r="I4" s="22">
        <f t="shared" si="1"/>
        <v>1.95</v>
      </c>
      <c r="J4" s="22">
        <f t="shared" si="2"/>
        <v>5172.05</v>
      </c>
      <c r="K4" s="22">
        <f t="shared" si="3"/>
        <v>18.2</v>
      </c>
      <c r="L4" s="22">
        <f t="shared" si="4"/>
        <v>7.8000000000000007</v>
      </c>
      <c r="N4" t="s">
        <v>31</v>
      </c>
      <c r="O4" t="s">
        <v>37</v>
      </c>
    </row>
    <row r="5" spans="1:15" x14ac:dyDescent="0.3">
      <c r="A5" t="s">
        <v>38</v>
      </c>
      <c r="B5" t="s">
        <v>34</v>
      </c>
      <c r="C5" t="s">
        <v>28</v>
      </c>
      <c r="D5" t="s">
        <v>29</v>
      </c>
      <c r="F5" t="s">
        <v>30</v>
      </c>
      <c r="G5" s="22">
        <v>2100</v>
      </c>
      <c r="H5">
        <f t="shared" si="0"/>
        <v>10.5</v>
      </c>
      <c r="I5" s="22">
        <f t="shared" si="1"/>
        <v>0.78749999999999998</v>
      </c>
      <c r="J5" s="22">
        <f t="shared" si="2"/>
        <v>2088.7125000000001</v>
      </c>
      <c r="K5" s="22">
        <f t="shared" si="3"/>
        <v>7.35</v>
      </c>
      <c r="L5" s="22">
        <f t="shared" si="4"/>
        <v>3.1500000000000004</v>
      </c>
      <c r="N5" t="s">
        <v>31</v>
      </c>
      <c r="O5" t="s">
        <v>39</v>
      </c>
    </row>
    <row r="6" spans="1:15" x14ac:dyDescent="0.3">
      <c r="A6" t="s">
        <v>40</v>
      </c>
      <c r="B6" t="s">
        <v>34</v>
      </c>
      <c r="C6" t="s">
        <v>28</v>
      </c>
      <c r="D6" t="s">
        <v>29</v>
      </c>
      <c r="F6" t="s">
        <v>30</v>
      </c>
      <c r="G6" s="22">
        <v>5100</v>
      </c>
      <c r="H6">
        <f t="shared" si="0"/>
        <v>25.5</v>
      </c>
      <c r="I6" s="22">
        <f t="shared" si="1"/>
        <v>1.9124999999999999</v>
      </c>
      <c r="J6" s="22">
        <f t="shared" si="2"/>
        <v>5072.5874999999996</v>
      </c>
      <c r="K6" s="22">
        <f t="shared" si="3"/>
        <v>17.849999999999998</v>
      </c>
      <c r="L6" s="22">
        <f t="shared" si="4"/>
        <v>7.6500000000000021</v>
      </c>
      <c r="N6" t="s">
        <v>31</v>
      </c>
      <c r="O6" t="s">
        <v>41</v>
      </c>
    </row>
    <row r="7" spans="1:15" x14ac:dyDescent="0.3">
      <c r="A7" t="s">
        <v>42</v>
      </c>
      <c r="B7" t="s">
        <v>34</v>
      </c>
      <c r="C7" t="s">
        <v>28</v>
      </c>
      <c r="D7" t="s">
        <v>29</v>
      </c>
      <c r="F7" t="s">
        <v>30</v>
      </c>
      <c r="G7" s="22">
        <v>9600</v>
      </c>
      <c r="H7">
        <f t="shared" si="0"/>
        <v>48</v>
      </c>
      <c r="I7" s="22">
        <f t="shared" si="1"/>
        <v>3.5999999999999996</v>
      </c>
      <c r="J7" s="22">
        <f t="shared" si="2"/>
        <v>9548.4</v>
      </c>
      <c r="K7" s="22">
        <f t="shared" si="3"/>
        <v>33.599999999999994</v>
      </c>
      <c r="L7" s="22">
        <f t="shared" si="4"/>
        <v>14.400000000000006</v>
      </c>
      <c r="N7" t="s">
        <v>31</v>
      </c>
      <c r="O7" t="s">
        <v>43</v>
      </c>
    </row>
    <row r="8" spans="1:15" x14ac:dyDescent="0.3">
      <c r="A8" t="s">
        <v>44</v>
      </c>
      <c r="B8" t="s">
        <v>45</v>
      </c>
      <c r="C8" t="s">
        <v>28</v>
      </c>
      <c r="D8" t="s">
        <v>29</v>
      </c>
      <c r="F8" t="s">
        <v>30</v>
      </c>
      <c r="G8" s="22">
        <v>300700</v>
      </c>
      <c r="H8">
        <f t="shared" si="0"/>
        <v>1000</v>
      </c>
      <c r="I8" s="22">
        <f t="shared" si="1"/>
        <v>75</v>
      </c>
      <c r="J8" s="22">
        <f t="shared" si="2"/>
        <v>299625</v>
      </c>
      <c r="K8" s="22">
        <f t="shared" si="3"/>
        <v>100</v>
      </c>
      <c r="L8" s="22">
        <f t="shared" si="4"/>
        <v>900</v>
      </c>
      <c r="N8" t="s">
        <v>31</v>
      </c>
      <c r="O8" t="s">
        <v>46</v>
      </c>
    </row>
    <row r="9" spans="1:15" x14ac:dyDescent="0.3">
      <c r="A9" t="s">
        <v>47</v>
      </c>
      <c r="B9" t="s">
        <v>34</v>
      </c>
      <c r="C9" t="s">
        <v>28</v>
      </c>
      <c r="D9" t="s">
        <v>29</v>
      </c>
      <c r="F9" t="s">
        <v>30</v>
      </c>
      <c r="G9" s="22">
        <v>5100</v>
      </c>
      <c r="H9">
        <f t="shared" si="0"/>
        <v>25.5</v>
      </c>
      <c r="I9" s="22">
        <f t="shared" si="1"/>
        <v>1.9124999999999999</v>
      </c>
      <c r="J9" s="22">
        <f t="shared" si="2"/>
        <v>5072.5874999999996</v>
      </c>
      <c r="K9" s="22">
        <f t="shared" si="3"/>
        <v>17.849999999999998</v>
      </c>
      <c r="L9" s="22">
        <f t="shared" si="4"/>
        <v>7.6500000000000021</v>
      </c>
      <c r="N9" t="s">
        <v>31</v>
      </c>
      <c r="O9" t="s">
        <v>48</v>
      </c>
    </row>
    <row r="10" spans="1:15" x14ac:dyDescent="0.3">
      <c r="A10" t="s">
        <v>49</v>
      </c>
      <c r="B10" t="s">
        <v>34</v>
      </c>
      <c r="C10" t="s">
        <v>28</v>
      </c>
      <c r="D10" t="s">
        <v>29</v>
      </c>
      <c r="F10" t="s">
        <v>30</v>
      </c>
      <c r="G10" s="22">
        <v>15000</v>
      </c>
      <c r="H10">
        <f t="shared" si="0"/>
        <v>75</v>
      </c>
      <c r="I10" s="22">
        <f t="shared" si="1"/>
        <v>5.625</v>
      </c>
      <c r="J10" s="22">
        <f t="shared" si="2"/>
        <v>14919.375</v>
      </c>
      <c r="K10" s="22">
        <f t="shared" si="3"/>
        <v>52.499999999999993</v>
      </c>
      <c r="L10" s="22">
        <f t="shared" si="4"/>
        <v>22.500000000000007</v>
      </c>
      <c r="N10" t="s">
        <v>31</v>
      </c>
      <c r="O10" t="s">
        <v>50</v>
      </c>
    </row>
    <row r="11" spans="1:15" x14ac:dyDescent="0.3">
      <c r="G11" s="21">
        <f t="shared" ref="G11:L11" si="5">SUM(G2:G10)</f>
        <v>358100</v>
      </c>
      <c r="H11" s="15">
        <f t="shared" si="5"/>
        <v>1287</v>
      </c>
      <c r="I11" s="21">
        <f t="shared" si="5"/>
        <v>96.524999999999991</v>
      </c>
      <c r="J11" s="26">
        <f t="shared" si="5"/>
        <v>356716.47500000003</v>
      </c>
      <c r="K11" s="21">
        <f t="shared" si="5"/>
        <v>300.89999999999998</v>
      </c>
      <c r="L11" s="21">
        <f t="shared" si="5"/>
        <v>986.1</v>
      </c>
    </row>
    <row r="15" spans="1:15" x14ac:dyDescent="0.3">
      <c r="H15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C5E0A-3753-4904-B006-8FB793DF82E3}">
  <dimension ref="A1:O7"/>
  <sheetViews>
    <sheetView workbookViewId="0">
      <selection activeCell="J14" sqref="J14"/>
    </sheetView>
  </sheetViews>
  <sheetFormatPr defaultRowHeight="14.4" x14ac:dyDescent="0.3"/>
  <cols>
    <col min="1" max="1" width="13.21875" customWidth="1"/>
    <col min="2" max="2" width="24" customWidth="1"/>
    <col min="7" max="7" width="10.21875" bestFit="1" customWidth="1"/>
    <col min="8" max="9" width="8.77734375" bestFit="1" customWidth="1"/>
    <col min="10" max="10" width="19.21875" customWidth="1"/>
    <col min="11" max="11" width="13.88671875" customWidth="1"/>
    <col min="12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54</v>
      </c>
      <c r="B2" t="s">
        <v>27</v>
      </c>
      <c r="C2" t="s">
        <v>28</v>
      </c>
      <c r="D2" t="s">
        <v>29</v>
      </c>
      <c r="F2" t="s">
        <v>30</v>
      </c>
      <c r="G2">
        <v>10200</v>
      </c>
      <c r="H2">
        <f>IF(G2&lt;=200000,0.5%*G2,1000)</f>
        <v>51</v>
      </c>
      <c r="I2" s="22">
        <f>7.5%*H2</f>
        <v>3.8249999999999997</v>
      </c>
      <c r="J2" s="22">
        <f>G2-(H2+I2)</f>
        <v>10145.174999999999</v>
      </c>
      <c r="K2" s="22">
        <f>IF( G2&lt;=28550,0.35%*G2,100)</f>
        <v>35.699999999999996</v>
      </c>
      <c r="L2" s="22">
        <f>H2-K2</f>
        <v>15.300000000000004</v>
      </c>
      <c r="N2" t="s">
        <v>31</v>
      </c>
      <c r="O2" t="s">
        <v>55</v>
      </c>
    </row>
    <row r="3" spans="1:15" x14ac:dyDescent="0.3">
      <c r="A3" t="s">
        <v>56</v>
      </c>
      <c r="B3" t="s">
        <v>34</v>
      </c>
      <c r="C3" t="s">
        <v>28</v>
      </c>
      <c r="D3" t="s">
        <v>29</v>
      </c>
      <c r="F3" t="s">
        <v>30</v>
      </c>
      <c r="G3">
        <v>1100</v>
      </c>
      <c r="H3">
        <f t="shared" ref="H3:H6" si="0">IF(G3&lt;=200000,0.5%*G3,1000)</f>
        <v>5.5</v>
      </c>
      <c r="I3" s="22">
        <f t="shared" ref="I3:I6" si="1">7.5%*H3</f>
        <v>0.41249999999999998</v>
      </c>
      <c r="J3" s="22">
        <f t="shared" ref="J3:J6" si="2">G3-(H3+I3)</f>
        <v>1094.0875000000001</v>
      </c>
      <c r="K3" s="22">
        <f t="shared" ref="K3:K6" si="3">IF( G3&lt;=28550,0.35%*G3,100)</f>
        <v>3.8499999999999996</v>
      </c>
      <c r="L3" s="22">
        <f t="shared" ref="L3:L6" si="4">H3-K3</f>
        <v>1.6500000000000004</v>
      </c>
      <c r="N3" t="s">
        <v>31</v>
      </c>
      <c r="O3" t="s">
        <v>57</v>
      </c>
    </row>
    <row r="4" spans="1:15" x14ac:dyDescent="0.3">
      <c r="A4" t="s">
        <v>58</v>
      </c>
      <c r="B4" t="s">
        <v>34</v>
      </c>
      <c r="C4" t="s">
        <v>28</v>
      </c>
      <c r="D4" t="s">
        <v>29</v>
      </c>
      <c r="F4" t="s">
        <v>30</v>
      </c>
      <c r="G4">
        <v>5100</v>
      </c>
      <c r="H4">
        <f t="shared" si="0"/>
        <v>25.5</v>
      </c>
      <c r="I4" s="22">
        <f t="shared" si="1"/>
        <v>1.9124999999999999</v>
      </c>
      <c r="J4" s="22">
        <f t="shared" si="2"/>
        <v>5072.5874999999996</v>
      </c>
      <c r="K4" s="22">
        <f t="shared" si="3"/>
        <v>17.849999999999998</v>
      </c>
      <c r="L4" s="22">
        <f t="shared" si="4"/>
        <v>7.6500000000000021</v>
      </c>
      <c r="N4" t="s">
        <v>31</v>
      </c>
      <c r="O4" t="s">
        <v>59</v>
      </c>
    </row>
    <row r="5" spans="1:15" x14ac:dyDescent="0.3">
      <c r="A5" t="s">
        <v>60</v>
      </c>
      <c r="B5" t="s">
        <v>34</v>
      </c>
      <c r="C5" t="s">
        <v>28</v>
      </c>
      <c r="D5" t="s">
        <v>29</v>
      </c>
      <c r="F5" t="s">
        <v>30</v>
      </c>
      <c r="G5">
        <v>22000</v>
      </c>
      <c r="H5">
        <f t="shared" si="0"/>
        <v>110</v>
      </c>
      <c r="I5" s="22">
        <f t="shared" si="1"/>
        <v>8.25</v>
      </c>
      <c r="J5" s="22">
        <f t="shared" si="2"/>
        <v>21881.75</v>
      </c>
      <c r="K5" s="22">
        <f t="shared" si="3"/>
        <v>76.999999999999986</v>
      </c>
      <c r="L5" s="22">
        <f t="shared" si="4"/>
        <v>33.000000000000014</v>
      </c>
      <c r="N5" t="s">
        <v>31</v>
      </c>
      <c r="O5" t="s">
        <v>61</v>
      </c>
    </row>
    <row r="6" spans="1:15" x14ac:dyDescent="0.3">
      <c r="A6" t="s">
        <v>62</v>
      </c>
      <c r="B6" t="s">
        <v>34</v>
      </c>
      <c r="C6" t="s">
        <v>28</v>
      </c>
      <c r="D6" t="s">
        <v>29</v>
      </c>
      <c r="F6" t="s">
        <v>30</v>
      </c>
      <c r="G6">
        <v>3100</v>
      </c>
      <c r="H6">
        <f t="shared" si="0"/>
        <v>15.5</v>
      </c>
      <c r="I6" s="22">
        <f t="shared" si="1"/>
        <v>1.1624999999999999</v>
      </c>
      <c r="J6" s="22">
        <f t="shared" si="2"/>
        <v>3083.3375000000001</v>
      </c>
      <c r="K6" s="22">
        <f t="shared" si="3"/>
        <v>10.85</v>
      </c>
      <c r="L6" s="22">
        <f t="shared" si="4"/>
        <v>4.6500000000000004</v>
      </c>
      <c r="N6" t="s">
        <v>31</v>
      </c>
      <c r="O6" t="s">
        <v>63</v>
      </c>
    </row>
    <row r="7" spans="1:15" x14ac:dyDescent="0.3">
      <c r="F7" s="21"/>
      <c r="G7" s="21">
        <f t="shared" ref="G7:L7" si="5">SUM(G2:G6)</f>
        <v>41500</v>
      </c>
      <c r="H7" s="21">
        <f t="shared" si="5"/>
        <v>207.5</v>
      </c>
      <c r="I7" s="21">
        <f t="shared" si="5"/>
        <v>15.562499999999998</v>
      </c>
      <c r="J7" s="21">
        <f t="shared" si="5"/>
        <v>41276.9375</v>
      </c>
      <c r="K7" s="21">
        <f t="shared" si="5"/>
        <v>145.24999999999997</v>
      </c>
      <c r="L7" s="21">
        <f t="shared" si="5"/>
        <v>62.250000000000021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5EEF5-5724-44DB-961F-1CA65630F5AC}">
  <dimension ref="A1:O17"/>
  <sheetViews>
    <sheetView workbookViewId="0">
      <selection activeCell="H1" sqref="H1:L2"/>
    </sheetView>
  </sheetViews>
  <sheetFormatPr defaultRowHeight="14.4" x14ac:dyDescent="0.3"/>
  <cols>
    <col min="1" max="1" width="23.88671875" bestFit="1" customWidth="1"/>
    <col min="2" max="2" width="26" bestFit="1" customWidth="1"/>
    <col min="7" max="7" width="11.21875" bestFit="1" customWidth="1"/>
    <col min="8" max="9" width="8.77734375" bestFit="1" customWidth="1"/>
    <col min="10" max="10" width="15.21875" bestFit="1" customWidth="1"/>
    <col min="11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64</v>
      </c>
      <c r="B2" t="s">
        <v>27</v>
      </c>
      <c r="C2" t="s">
        <v>28</v>
      </c>
      <c r="D2" t="s">
        <v>29</v>
      </c>
      <c r="F2" t="s">
        <v>30</v>
      </c>
      <c r="G2">
        <v>10100</v>
      </c>
      <c r="H2">
        <f>IF(G2&lt;=200000,0.5%*G2,1000)</f>
        <v>50.5</v>
      </c>
      <c r="I2" s="22">
        <f>7.5%*H2</f>
        <v>3.7874999999999996</v>
      </c>
      <c r="J2" s="22">
        <f>G2-(H2+I2)</f>
        <v>10045.7125</v>
      </c>
      <c r="K2" s="22">
        <f>IF( G2&lt;=28550,0.35%*G2,100)</f>
        <v>35.349999999999994</v>
      </c>
      <c r="L2" s="22">
        <f>H2-K2</f>
        <v>15.150000000000006</v>
      </c>
      <c r="N2" t="s">
        <v>31</v>
      </c>
      <c r="O2" t="s">
        <v>65</v>
      </c>
    </row>
    <row r="3" spans="1:15" x14ac:dyDescent="0.3">
      <c r="A3" t="s">
        <v>66</v>
      </c>
      <c r="B3" t="s">
        <v>67</v>
      </c>
      <c r="C3" t="s">
        <v>28</v>
      </c>
      <c r="D3" t="s">
        <v>29</v>
      </c>
      <c r="F3" t="s">
        <v>30</v>
      </c>
      <c r="G3">
        <v>5000</v>
      </c>
      <c r="H3">
        <f t="shared" ref="H3:H16" si="0">IF(G3&lt;=200000,0.5%*G3,1000)</f>
        <v>25</v>
      </c>
      <c r="I3" s="22">
        <f t="shared" ref="I3:I16" si="1">7.5%*H3</f>
        <v>1.875</v>
      </c>
      <c r="J3" s="22">
        <f t="shared" ref="J3:J16" si="2">G3-(H3+I3)</f>
        <v>4973.125</v>
      </c>
      <c r="K3" s="22">
        <f t="shared" ref="K3:K16" si="3">IF( G3&lt;=28550,0.35%*G3,100)</f>
        <v>17.499999999999996</v>
      </c>
      <c r="L3" s="22">
        <f t="shared" ref="L3:L16" si="4">H3-K3</f>
        <v>7.5000000000000036</v>
      </c>
      <c r="N3" t="s">
        <v>31</v>
      </c>
      <c r="O3" t="s">
        <v>68</v>
      </c>
    </row>
    <row r="4" spans="1:15" x14ac:dyDescent="0.3">
      <c r="A4" t="s">
        <v>69</v>
      </c>
      <c r="B4" t="s">
        <v>67</v>
      </c>
      <c r="C4" t="s">
        <v>28</v>
      </c>
      <c r="D4" t="s">
        <v>29</v>
      </c>
      <c r="F4" t="s">
        <v>30</v>
      </c>
      <c r="G4">
        <v>5000</v>
      </c>
      <c r="H4">
        <f t="shared" si="0"/>
        <v>25</v>
      </c>
      <c r="I4" s="22">
        <f t="shared" si="1"/>
        <v>1.875</v>
      </c>
      <c r="J4" s="22">
        <f t="shared" si="2"/>
        <v>4973.125</v>
      </c>
      <c r="K4" s="22">
        <f t="shared" si="3"/>
        <v>17.499999999999996</v>
      </c>
      <c r="L4" s="22">
        <f t="shared" si="4"/>
        <v>7.5000000000000036</v>
      </c>
      <c r="N4" t="s">
        <v>31</v>
      </c>
      <c r="O4" t="s">
        <v>70</v>
      </c>
    </row>
    <row r="5" spans="1:15" x14ac:dyDescent="0.3">
      <c r="A5" t="s">
        <v>71</v>
      </c>
      <c r="B5" t="s">
        <v>67</v>
      </c>
      <c r="C5" t="s">
        <v>28</v>
      </c>
      <c r="D5" t="s">
        <v>29</v>
      </c>
      <c r="F5" t="s">
        <v>30</v>
      </c>
      <c r="G5">
        <v>2000</v>
      </c>
      <c r="H5">
        <f t="shared" si="0"/>
        <v>10</v>
      </c>
      <c r="I5" s="22">
        <f t="shared" si="1"/>
        <v>0.75</v>
      </c>
      <c r="J5" s="22">
        <f t="shared" si="2"/>
        <v>1989.25</v>
      </c>
      <c r="K5" s="22">
        <f t="shared" si="3"/>
        <v>6.9999999999999991</v>
      </c>
      <c r="L5" s="22">
        <f t="shared" si="4"/>
        <v>3.0000000000000009</v>
      </c>
      <c r="N5" t="s">
        <v>31</v>
      </c>
      <c r="O5" t="s">
        <v>72</v>
      </c>
    </row>
    <row r="6" spans="1:15" x14ac:dyDescent="0.3">
      <c r="A6" t="s">
        <v>73</v>
      </c>
      <c r="B6" t="s">
        <v>67</v>
      </c>
      <c r="C6" t="s">
        <v>28</v>
      </c>
      <c r="D6" t="s">
        <v>29</v>
      </c>
      <c r="F6" t="s">
        <v>30</v>
      </c>
      <c r="G6">
        <v>5000</v>
      </c>
      <c r="H6">
        <f t="shared" si="0"/>
        <v>25</v>
      </c>
      <c r="I6" s="22">
        <f t="shared" si="1"/>
        <v>1.875</v>
      </c>
      <c r="J6" s="22">
        <f t="shared" si="2"/>
        <v>4973.125</v>
      </c>
      <c r="K6" s="22">
        <f t="shared" si="3"/>
        <v>17.499999999999996</v>
      </c>
      <c r="L6" s="22">
        <f t="shared" si="4"/>
        <v>7.5000000000000036</v>
      </c>
      <c r="N6" t="s">
        <v>31</v>
      </c>
      <c r="O6" t="s">
        <v>74</v>
      </c>
    </row>
    <row r="7" spans="1:15" x14ac:dyDescent="0.3">
      <c r="A7" t="s">
        <v>75</v>
      </c>
      <c r="B7" t="s">
        <v>67</v>
      </c>
      <c r="C7" t="s">
        <v>28</v>
      </c>
      <c r="D7" t="s">
        <v>29</v>
      </c>
      <c r="F7" t="s">
        <v>30</v>
      </c>
      <c r="G7">
        <v>20000</v>
      </c>
      <c r="H7">
        <f t="shared" si="0"/>
        <v>100</v>
      </c>
      <c r="I7" s="22">
        <f t="shared" si="1"/>
        <v>7.5</v>
      </c>
      <c r="J7" s="22">
        <f t="shared" si="2"/>
        <v>19892.5</v>
      </c>
      <c r="K7" s="22">
        <f t="shared" si="3"/>
        <v>69.999999999999986</v>
      </c>
      <c r="L7" s="22">
        <f t="shared" si="4"/>
        <v>30.000000000000014</v>
      </c>
      <c r="N7" t="s">
        <v>31</v>
      </c>
      <c r="O7" t="s">
        <v>76</v>
      </c>
    </row>
    <row r="8" spans="1:15" x14ac:dyDescent="0.3">
      <c r="A8" t="s">
        <v>77</v>
      </c>
      <c r="B8" t="s">
        <v>67</v>
      </c>
      <c r="C8" t="s">
        <v>28</v>
      </c>
      <c r="D8" t="s">
        <v>29</v>
      </c>
      <c r="F8" t="s">
        <v>30</v>
      </c>
      <c r="G8">
        <v>7200</v>
      </c>
      <c r="H8">
        <f t="shared" si="0"/>
        <v>36</v>
      </c>
      <c r="I8" s="22">
        <f t="shared" si="1"/>
        <v>2.6999999999999997</v>
      </c>
      <c r="J8" s="22">
        <f t="shared" si="2"/>
        <v>7161.3</v>
      </c>
      <c r="K8" s="22">
        <f t="shared" si="3"/>
        <v>25.199999999999996</v>
      </c>
      <c r="L8" s="22">
        <f t="shared" si="4"/>
        <v>10.800000000000004</v>
      </c>
      <c r="N8" t="s">
        <v>31</v>
      </c>
      <c r="O8" t="s">
        <v>78</v>
      </c>
    </row>
    <row r="9" spans="1:15" x14ac:dyDescent="0.3">
      <c r="A9" t="s">
        <v>79</v>
      </c>
      <c r="B9" t="s">
        <v>67</v>
      </c>
      <c r="C9" t="s">
        <v>28</v>
      </c>
      <c r="D9" t="s">
        <v>29</v>
      </c>
      <c r="F9" t="s">
        <v>30</v>
      </c>
      <c r="G9">
        <v>5000</v>
      </c>
      <c r="H9">
        <f t="shared" si="0"/>
        <v>25</v>
      </c>
      <c r="I9" s="22">
        <f t="shared" si="1"/>
        <v>1.875</v>
      </c>
      <c r="J9" s="22">
        <f t="shared" si="2"/>
        <v>4973.125</v>
      </c>
      <c r="K9" s="22">
        <f t="shared" si="3"/>
        <v>17.499999999999996</v>
      </c>
      <c r="L9" s="22">
        <f t="shared" si="4"/>
        <v>7.5000000000000036</v>
      </c>
      <c r="N9" t="s">
        <v>31</v>
      </c>
      <c r="O9" t="s">
        <v>80</v>
      </c>
    </row>
    <row r="10" spans="1:15" x14ac:dyDescent="0.3">
      <c r="A10" t="s">
        <v>81</v>
      </c>
      <c r="B10" t="s">
        <v>67</v>
      </c>
      <c r="C10" t="s">
        <v>28</v>
      </c>
      <c r="D10" t="s">
        <v>29</v>
      </c>
      <c r="F10" t="s">
        <v>30</v>
      </c>
      <c r="G10">
        <v>2000</v>
      </c>
      <c r="H10">
        <f t="shared" si="0"/>
        <v>10</v>
      </c>
      <c r="I10" s="22">
        <f t="shared" si="1"/>
        <v>0.75</v>
      </c>
      <c r="J10" s="22">
        <f t="shared" si="2"/>
        <v>1989.25</v>
      </c>
      <c r="K10" s="22">
        <f t="shared" si="3"/>
        <v>6.9999999999999991</v>
      </c>
      <c r="L10" s="22">
        <f t="shared" si="4"/>
        <v>3.0000000000000009</v>
      </c>
      <c r="N10" t="s">
        <v>31</v>
      </c>
      <c r="O10" t="s">
        <v>82</v>
      </c>
    </row>
    <row r="11" spans="1:15" x14ac:dyDescent="0.3">
      <c r="A11" t="s">
        <v>83</v>
      </c>
      <c r="B11" t="s">
        <v>34</v>
      </c>
      <c r="C11" t="s">
        <v>28</v>
      </c>
      <c r="D11" t="s">
        <v>29</v>
      </c>
      <c r="F11" t="s">
        <v>30</v>
      </c>
      <c r="G11">
        <v>40200</v>
      </c>
      <c r="H11">
        <f t="shared" si="0"/>
        <v>201</v>
      </c>
      <c r="I11" s="22">
        <f t="shared" si="1"/>
        <v>15.074999999999999</v>
      </c>
      <c r="J11" s="22">
        <f t="shared" si="2"/>
        <v>39983.925000000003</v>
      </c>
      <c r="K11" s="22">
        <f t="shared" si="3"/>
        <v>100</v>
      </c>
      <c r="L11" s="22">
        <f t="shared" si="4"/>
        <v>101</v>
      </c>
      <c r="N11" t="s">
        <v>31</v>
      </c>
      <c r="O11" t="s">
        <v>84</v>
      </c>
    </row>
    <row r="12" spans="1:15" x14ac:dyDescent="0.3">
      <c r="A12" t="s">
        <v>85</v>
      </c>
      <c r="B12" t="s">
        <v>34</v>
      </c>
      <c r="C12" t="s">
        <v>28</v>
      </c>
      <c r="D12" t="s">
        <v>29</v>
      </c>
      <c r="F12" t="s">
        <v>30</v>
      </c>
      <c r="G12">
        <v>5100</v>
      </c>
      <c r="H12">
        <f t="shared" si="0"/>
        <v>25.5</v>
      </c>
      <c r="I12" s="22">
        <f t="shared" si="1"/>
        <v>1.9124999999999999</v>
      </c>
      <c r="J12" s="22">
        <f t="shared" si="2"/>
        <v>5072.5874999999996</v>
      </c>
      <c r="K12" s="22">
        <f t="shared" si="3"/>
        <v>17.849999999999998</v>
      </c>
      <c r="L12" s="22">
        <f t="shared" si="4"/>
        <v>7.6500000000000021</v>
      </c>
      <c r="N12" t="s">
        <v>31</v>
      </c>
      <c r="O12" t="s">
        <v>86</v>
      </c>
    </row>
    <row r="13" spans="1:15" x14ac:dyDescent="0.3">
      <c r="A13" t="s">
        <v>87</v>
      </c>
      <c r="B13" t="s">
        <v>34</v>
      </c>
      <c r="C13" t="s">
        <v>28</v>
      </c>
      <c r="D13" t="s">
        <v>29</v>
      </c>
      <c r="F13" t="s">
        <v>30</v>
      </c>
      <c r="G13">
        <v>2100</v>
      </c>
      <c r="H13">
        <f t="shared" si="0"/>
        <v>10.5</v>
      </c>
      <c r="I13" s="22">
        <f t="shared" si="1"/>
        <v>0.78749999999999998</v>
      </c>
      <c r="J13" s="22">
        <f t="shared" si="2"/>
        <v>2088.7125000000001</v>
      </c>
      <c r="K13" s="22">
        <f t="shared" si="3"/>
        <v>7.35</v>
      </c>
      <c r="L13" s="22">
        <f t="shared" si="4"/>
        <v>3.1500000000000004</v>
      </c>
      <c r="N13" t="s">
        <v>31</v>
      </c>
      <c r="O13" t="s">
        <v>88</v>
      </c>
    </row>
    <row r="14" spans="1:15" x14ac:dyDescent="0.3">
      <c r="A14" t="s">
        <v>89</v>
      </c>
      <c r="B14" t="s">
        <v>67</v>
      </c>
      <c r="C14" t="s">
        <v>28</v>
      </c>
      <c r="D14" t="s">
        <v>29</v>
      </c>
      <c r="F14" t="s">
        <v>30</v>
      </c>
      <c r="G14">
        <v>5100</v>
      </c>
      <c r="H14">
        <f t="shared" si="0"/>
        <v>25.5</v>
      </c>
      <c r="I14" s="22">
        <f t="shared" si="1"/>
        <v>1.9124999999999999</v>
      </c>
      <c r="J14" s="22">
        <f t="shared" si="2"/>
        <v>5072.5874999999996</v>
      </c>
      <c r="K14" s="22">
        <f t="shared" si="3"/>
        <v>17.849999999999998</v>
      </c>
      <c r="L14" s="22">
        <f t="shared" si="4"/>
        <v>7.6500000000000021</v>
      </c>
      <c r="N14" t="s">
        <v>31</v>
      </c>
      <c r="O14" t="s">
        <v>90</v>
      </c>
    </row>
    <row r="15" spans="1:15" x14ac:dyDescent="0.3">
      <c r="A15" t="s">
        <v>91</v>
      </c>
      <c r="B15" t="s">
        <v>34</v>
      </c>
      <c r="C15" t="s">
        <v>28</v>
      </c>
      <c r="D15" t="s">
        <v>29</v>
      </c>
      <c r="F15" t="s">
        <v>30</v>
      </c>
      <c r="G15">
        <v>10200</v>
      </c>
      <c r="H15">
        <f t="shared" si="0"/>
        <v>51</v>
      </c>
      <c r="I15" s="22">
        <f t="shared" si="1"/>
        <v>3.8249999999999997</v>
      </c>
      <c r="J15" s="22">
        <f t="shared" si="2"/>
        <v>10145.174999999999</v>
      </c>
      <c r="K15" s="22">
        <f t="shared" si="3"/>
        <v>35.699999999999996</v>
      </c>
      <c r="L15" s="22">
        <f t="shared" si="4"/>
        <v>15.300000000000004</v>
      </c>
      <c r="N15" t="s">
        <v>31</v>
      </c>
      <c r="O15" t="s">
        <v>92</v>
      </c>
    </row>
    <row r="16" spans="1:15" x14ac:dyDescent="0.3">
      <c r="A16" t="s">
        <v>93</v>
      </c>
      <c r="B16" t="s">
        <v>67</v>
      </c>
      <c r="C16" t="s">
        <v>28</v>
      </c>
      <c r="D16" t="s">
        <v>29</v>
      </c>
      <c r="F16" t="s">
        <v>30</v>
      </c>
      <c r="G16">
        <v>3000</v>
      </c>
      <c r="H16">
        <f t="shared" si="0"/>
        <v>15</v>
      </c>
      <c r="I16" s="22">
        <f t="shared" si="1"/>
        <v>1.125</v>
      </c>
      <c r="J16" s="22">
        <f t="shared" si="2"/>
        <v>2983.875</v>
      </c>
      <c r="K16" s="22">
        <f t="shared" si="3"/>
        <v>10.499999999999998</v>
      </c>
      <c r="L16" s="22">
        <f t="shared" si="4"/>
        <v>4.5000000000000018</v>
      </c>
      <c r="N16" t="s">
        <v>31</v>
      </c>
      <c r="O16" t="s">
        <v>94</v>
      </c>
    </row>
    <row r="17" spans="7:12" x14ac:dyDescent="0.3">
      <c r="G17" s="21">
        <f t="shared" ref="G17:L17" si="5">SUM(G2:G16)</f>
        <v>127000</v>
      </c>
      <c r="H17" s="21">
        <f t="shared" si="5"/>
        <v>635</v>
      </c>
      <c r="I17" s="21">
        <f t="shared" si="5"/>
        <v>47.625000000000007</v>
      </c>
      <c r="J17" s="21">
        <f t="shared" si="5"/>
        <v>126317.37499999999</v>
      </c>
      <c r="K17" s="21">
        <f t="shared" si="5"/>
        <v>403.8</v>
      </c>
      <c r="L17" s="21">
        <f t="shared" si="5"/>
        <v>231.20000000000007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C63E-F3C5-46DB-BAE0-13FDE7DE6FF8}">
  <dimension ref="A1:O6"/>
  <sheetViews>
    <sheetView workbookViewId="0">
      <selection activeCell="N12" sqref="N12"/>
    </sheetView>
  </sheetViews>
  <sheetFormatPr defaultRowHeight="14.4" x14ac:dyDescent="0.3"/>
  <cols>
    <col min="1" max="1" width="29" customWidth="1"/>
    <col min="4" max="4" width="16" customWidth="1"/>
    <col min="7" max="7" width="10.21875" bestFit="1" customWidth="1"/>
    <col min="8" max="9" width="8.77734375" bestFit="1" customWidth="1"/>
    <col min="10" max="10" width="14.6640625" customWidth="1"/>
    <col min="11" max="11" width="15.88671875" bestFit="1" customWidth="1"/>
    <col min="12" max="12" width="9.109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95</v>
      </c>
      <c r="B2" t="s">
        <v>27</v>
      </c>
      <c r="C2" t="s">
        <v>28</v>
      </c>
      <c r="D2" t="s">
        <v>29</v>
      </c>
      <c r="F2" t="s">
        <v>30</v>
      </c>
      <c r="G2">
        <v>10200</v>
      </c>
      <c r="H2">
        <f>IF(G2&lt;=200000,0.5%*G2,1000)</f>
        <v>51</v>
      </c>
      <c r="I2" s="22">
        <f>7.5%*H2</f>
        <v>3.8249999999999997</v>
      </c>
      <c r="J2" s="22">
        <f>G2-(H2+I2)</f>
        <v>10145.174999999999</v>
      </c>
      <c r="K2" s="22">
        <f>IF( G2&lt;=28550,0.35%*G2,100)</f>
        <v>35.699999999999996</v>
      </c>
      <c r="L2" s="22">
        <f>H2-K2</f>
        <v>15.300000000000004</v>
      </c>
      <c r="N2" t="s">
        <v>31</v>
      </c>
      <c r="O2" t="s">
        <v>96</v>
      </c>
    </row>
    <row r="3" spans="1:15" x14ac:dyDescent="0.3">
      <c r="A3" t="s">
        <v>97</v>
      </c>
      <c r="B3" t="s">
        <v>34</v>
      </c>
      <c r="C3" t="s">
        <v>28</v>
      </c>
      <c r="D3" t="s">
        <v>29</v>
      </c>
      <c r="F3" t="s">
        <v>30</v>
      </c>
      <c r="G3">
        <v>5000</v>
      </c>
      <c r="H3">
        <f t="shared" ref="H3:H5" si="0">IF(G3&lt;=200000,0.5%*G3,1000)</f>
        <v>25</v>
      </c>
      <c r="I3" s="22">
        <f t="shared" ref="I3:I5" si="1">7.5%*H3</f>
        <v>1.875</v>
      </c>
      <c r="J3" s="22">
        <f t="shared" ref="J3:J5" si="2">G3-(H3+I3)</f>
        <v>4973.125</v>
      </c>
      <c r="K3" s="22">
        <f t="shared" ref="K3:K5" si="3">IF( G3&lt;=28550,0.35%*G3,100)</f>
        <v>17.499999999999996</v>
      </c>
      <c r="L3" s="22">
        <f t="shared" ref="L3:L5" si="4">H3-K3</f>
        <v>7.5000000000000036</v>
      </c>
      <c r="N3" t="s">
        <v>31</v>
      </c>
      <c r="O3" t="s">
        <v>98</v>
      </c>
    </row>
    <row r="4" spans="1:15" x14ac:dyDescent="0.3">
      <c r="A4" t="s">
        <v>99</v>
      </c>
      <c r="B4" t="s">
        <v>34</v>
      </c>
      <c r="C4" t="s">
        <v>28</v>
      </c>
      <c r="D4" t="s">
        <v>29</v>
      </c>
      <c r="F4" t="s">
        <v>30</v>
      </c>
      <c r="G4">
        <v>5000</v>
      </c>
      <c r="H4">
        <f t="shared" si="0"/>
        <v>25</v>
      </c>
      <c r="I4" s="22">
        <f t="shared" si="1"/>
        <v>1.875</v>
      </c>
      <c r="J4" s="22">
        <f t="shared" si="2"/>
        <v>4973.125</v>
      </c>
      <c r="K4" s="22">
        <f t="shared" si="3"/>
        <v>17.499999999999996</v>
      </c>
      <c r="L4" s="22">
        <f t="shared" si="4"/>
        <v>7.5000000000000036</v>
      </c>
      <c r="N4" t="s">
        <v>31</v>
      </c>
      <c r="O4" t="s">
        <v>100</v>
      </c>
    </row>
    <row r="5" spans="1:15" x14ac:dyDescent="0.3">
      <c r="A5" t="s">
        <v>101</v>
      </c>
      <c r="B5" t="s">
        <v>34</v>
      </c>
      <c r="C5" t="s">
        <v>28</v>
      </c>
      <c r="D5" t="s">
        <v>29</v>
      </c>
      <c r="F5" t="s">
        <v>30</v>
      </c>
      <c r="G5">
        <v>5000</v>
      </c>
      <c r="H5">
        <f t="shared" si="0"/>
        <v>25</v>
      </c>
      <c r="I5" s="22">
        <f t="shared" si="1"/>
        <v>1.875</v>
      </c>
      <c r="J5" s="22">
        <f t="shared" si="2"/>
        <v>4973.125</v>
      </c>
      <c r="K5" s="22">
        <f t="shared" si="3"/>
        <v>17.499999999999996</v>
      </c>
      <c r="L5" s="22">
        <f t="shared" si="4"/>
        <v>7.5000000000000036</v>
      </c>
      <c r="N5" t="s">
        <v>31</v>
      </c>
      <c r="O5" t="s">
        <v>102</v>
      </c>
    </row>
    <row r="6" spans="1:15" x14ac:dyDescent="0.3">
      <c r="G6" s="21">
        <f t="shared" ref="G6:L6" si="5">SUM(G2:G5)</f>
        <v>25200</v>
      </c>
      <c r="H6" s="21">
        <f t="shared" si="5"/>
        <v>126</v>
      </c>
      <c r="I6" s="21">
        <f t="shared" si="5"/>
        <v>9.4499999999999993</v>
      </c>
      <c r="J6" s="21">
        <f t="shared" si="5"/>
        <v>25064.55</v>
      </c>
      <c r="K6" s="21">
        <f t="shared" si="5"/>
        <v>88.199999999999989</v>
      </c>
      <c r="L6" s="21">
        <f t="shared" si="5"/>
        <v>37.800000000000011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F3137-12BF-4B3F-8B03-F1FFE4EDD50D}">
  <dimension ref="A1:O9"/>
  <sheetViews>
    <sheetView workbookViewId="0">
      <selection activeCell="N18" sqref="N18"/>
    </sheetView>
  </sheetViews>
  <sheetFormatPr defaultRowHeight="14.4" x14ac:dyDescent="0.3"/>
  <cols>
    <col min="7" max="7" width="10.21875" bestFit="1" customWidth="1"/>
    <col min="8" max="9" width="8.77734375" bestFit="1" customWidth="1"/>
    <col min="10" max="10" width="15.21875" bestFit="1" customWidth="1"/>
    <col min="11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103</v>
      </c>
      <c r="B2" t="s">
        <v>27</v>
      </c>
      <c r="C2" t="s">
        <v>28</v>
      </c>
      <c r="D2" t="s">
        <v>29</v>
      </c>
      <c r="F2" t="s">
        <v>30</v>
      </c>
      <c r="G2">
        <v>10200</v>
      </c>
      <c r="H2">
        <f>IF(G2&lt;=200000,0.5%*G2,1000)</f>
        <v>51</v>
      </c>
      <c r="I2" s="22">
        <f>7.5%*H2</f>
        <v>3.8249999999999997</v>
      </c>
      <c r="J2" s="22">
        <f>G2-(H2+I2)</f>
        <v>10145.174999999999</v>
      </c>
      <c r="K2" s="22">
        <f>IF( G2&lt;=28550,0.35%*G2,100)</f>
        <v>35.699999999999996</v>
      </c>
      <c r="L2" s="22">
        <f>H2-K2</f>
        <v>15.300000000000004</v>
      </c>
      <c r="N2" t="s">
        <v>31</v>
      </c>
      <c r="O2" t="s">
        <v>104</v>
      </c>
    </row>
    <row r="3" spans="1:15" x14ac:dyDescent="0.3">
      <c r="A3" t="s">
        <v>105</v>
      </c>
      <c r="B3" t="s">
        <v>34</v>
      </c>
      <c r="C3" t="s">
        <v>28</v>
      </c>
      <c r="D3" t="s">
        <v>29</v>
      </c>
      <c r="F3" t="s">
        <v>30</v>
      </c>
      <c r="G3">
        <v>1000</v>
      </c>
      <c r="H3">
        <f t="shared" ref="H3:H8" si="0">IF(G3&lt;=200000,0.5%*G3,1000)</f>
        <v>5</v>
      </c>
      <c r="I3" s="22">
        <f t="shared" ref="I3:I8" si="1">7.5%*H3</f>
        <v>0.375</v>
      </c>
      <c r="J3" s="22">
        <f t="shared" ref="J3:J8" si="2">G3-(H3+I3)</f>
        <v>994.625</v>
      </c>
      <c r="K3" s="22">
        <f t="shared" ref="K3:K8" si="3">IF( G3&lt;=28550,0.35%*G3,100)</f>
        <v>3.4999999999999996</v>
      </c>
      <c r="L3" s="22">
        <f t="shared" ref="L3:L8" si="4">H3-K3</f>
        <v>1.5000000000000004</v>
      </c>
      <c r="N3" t="s">
        <v>31</v>
      </c>
      <c r="O3" t="s">
        <v>106</v>
      </c>
    </row>
    <row r="4" spans="1:15" x14ac:dyDescent="0.3">
      <c r="A4" t="s">
        <v>107</v>
      </c>
      <c r="B4" t="s">
        <v>34</v>
      </c>
      <c r="C4" t="s">
        <v>28</v>
      </c>
      <c r="D4" t="s">
        <v>29</v>
      </c>
      <c r="F4" t="s">
        <v>30</v>
      </c>
      <c r="G4">
        <v>5100</v>
      </c>
      <c r="H4">
        <f t="shared" si="0"/>
        <v>25.5</v>
      </c>
      <c r="I4" s="22">
        <f t="shared" si="1"/>
        <v>1.9124999999999999</v>
      </c>
      <c r="J4" s="22">
        <f t="shared" si="2"/>
        <v>5072.5874999999996</v>
      </c>
      <c r="K4" s="22">
        <f t="shared" si="3"/>
        <v>17.849999999999998</v>
      </c>
      <c r="L4" s="22">
        <f t="shared" si="4"/>
        <v>7.6500000000000021</v>
      </c>
      <c r="N4" t="s">
        <v>31</v>
      </c>
      <c r="O4" t="s">
        <v>108</v>
      </c>
    </row>
    <row r="5" spans="1:15" x14ac:dyDescent="0.3">
      <c r="A5" t="s">
        <v>109</v>
      </c>
      <c r="B5" t="s">
        <v>34</v>
      </c>
      <c r="C5" t="s">
        <v>28</v>
      </c>
      <c r="D5" t="s">
        <v>29</v>
      </c>
      <c r="F5" t="s">
        <v>30</v>
      </c>
      <c r="G5">
        <v>1000</v>
      </c>
      <c r="H5">
        <f t="shared" si="0"/>
        <v>5</v>
      </c>
      <c r="I5" s="22">
        <f t="shared" si="1"/>
        <v>0.375</v>
      </c>
      <c r="J5" s="22">
        <f t="shared" si="2"/>
        <v>994.625</v>
      </c>
      <c r="K5" s="22">
        <f t="shared" si="3"/>
        <v>3.4999999999999996</v>
      </c>
      <c r="L5" s="22">
        <f t="shared" si="4"/>
        <v>1.5000000000000004</v>
      </c>
      <c r="N5" t="s">
        <v>31</v>
      </c>
      <c r="O5" t="s">
        <v>110</v>
      </c>
    </row>
    <row r="6" spans="1:15" x14ac:dyDescent="0.3">
      <c r="A6" t="s">
        <v>111</v>
      </c>
      <c r="B6" t="s">
        <v>34</v>
      </c>
      <c r="C6" t="s">
        <v>28</v>
      </c>
      <c r="D6" t="s">
        <v>29</v>
      </c>
      <c r="F6" t="s">
        <v>30</v>
      </c>
      <c r="G6">
        <v>1000</v>
      </c>
      <c r="H6">
        <f t="shared" si="0"/>
        <v>5</v>
      </c>
      <c r="I6" s="22">
        <f t="shared" si="1"/>
        <v>0.375</v>
      </c>
      <c r="J6" s="22">
        <f t="shared" si="2"/>
        <v>994.625</v>
      </c>
      <c r="K6" s="22">
        <f t="shared" si="3"/>
        <v>3.4999999999999996</v>
      </c>
      <c r="L6" s="22">
        <f t="shared" si="4"/>
        <v>1.5000000000000004</v>
      </c>
      <c r="N6" t="s">
        <v>31</v>
      </c>
      <c r="O6" t="s">
        <v>112</v>
      </c>
    </row>
    <row r="7" spans="1:15" x14ac:dyDescent="0.3">
      <c r="A7" t="s">
        <v>113</v>
      </c>
      <c r="B7" t="s">
        <v>34</v>
      </c>
      <c r="C7" t="s">
        <v>28</v>
      </c>
      <c r="D7" t="s">
        <v>29</v>
      </c>
      <c r="F7" t="s">
        <v>30</v>
      </c>
      <c r="G7">
        <v>2000</v>
      </c>
      <c r="H7">
        <f t="shared" si="0"/>
        <v>10</v>
      </c>
      <c r="I7" s="22">
        <f t="shared" si="1"/>
        <v>0.75</v>
      </c>
      <c r="J7" s="22">
        <f t="shared" si="2"/>
        <v>1989.25</v>
      </c>
      <c r="K7" s="22">
        <f t="shared" si="3"/>
        <v>6.9999999999999991</v>
      </c>
      <c r="L7" s="22">
        <f t="shared" si="4"/>
        <v>3.0000000000000009</v>
      </c>
      <c r="N7" t="s">
        <v>31</v>
      </c>
      <c r="O7" t="s">
        <v>114</v>
      </c>
    </row>
    <row r="8" spans="1:15" x14ac:dyDescent="0.3">
      <c r="A8" t="s">
        <v>115</v>
      </c>
      <c r="B8" t="s">
        <v>34</v>
      </c>
      <c r="C8" t="s">
        <v>28</v>
      </c>
      <c r="D8" t="s">
        <v>29</v>
      </c>
      <c r="F8" t="s">
        <v>30</v>
      </c>
      <c r="G8">
        <v>3100</v>
      </c>
      <c r="H8">
        <f t="shared" si="0"/>
        <v>15.5</v>
      </c>
      <c r="I8" s="22">
        <f t="shared" si="1"/>
        <v>1.1624999999999999</v>
      </c>
      <c r="J8" s="22">
        <f t="shared" si="2"/>
        <v>3083.3375000000001</v>
      </c>
      <c r="K8" s="22">
        <f t="shared" si="3"/>
        <v>10.85</v>
      </c>
      <c r="L8" s="22">
        <f t="shared" si="4"/>
        <v>4.6500000000000004</v>
      </c>
      <c r="N8" t="s">
        <v>31</v>
      </c>
      <c r="O8" t="s">
        <v>116</v>
      </c>
    </row>
    <row r="9" spans="1:15" x14ac:dyDescent="0.3">
      <c r="G9" s="21">
        <f t="shared" ref="G9:L9" si="5">SUM(G2:G8)</f>
        <v>23400</v>
      </c>
      <c r="H9" s="21">
        <f t="shared" si="5"/>
        <v>117</v>
      </c>
      <c r="I9" s="21">
        <f t="shared" si="5"/>
        <v>8.7749999999999986</v>
      </c>
      <c r="J9" s="21">
        <f t="shared" si="5"/>
        <v>23274.224999999999</v>
      </c>
      <c r="K9" s="21">
        <f t="shared" si="5"/>
        <v>81.899999999999991</v>
      </c>
      <c r="L9" s="21">
        <f t="shared" si="5"/>
        <v>35.100000000000009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C3307-18DF-4F73-89EF-12D29BC1AE80}">
  <dimension ref="A1:N13"/>
  <sheetViews>
    <sheetView workbookViewId="0">
      <selection activeCell="K15" sqref="K15"/>
    </sheetView>
  </sheetViews>
  <sheetFormatPr defaultRowHeight="14.4" x14ac:dyDescent="0.3"/>
  <cols>
    <col min="7" max="7" width="10.21875" bestFit="1" customWidth="1"/>
    <col min="8" max="8" width="10.33203125" customWidth="1"/>
    <col min="9" max="9" width="8.77734375" bestFit="1" customWidth="1"/>
    <col min="10" max="10" width="16.88671875" customWidth="1"/>
    <col min="11" max="11" width="14.77734375" customWidth="1"/>
    <col min="12" max="12" width="9" bestFit="1" customWidth="1"/>
  </cols>
  <sheetData>
    <row r="1" spans="1:14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s="15" t="s">
        <v>24</v>
      </c>
    </row>
    <row r="2" spans="1:14" x14ac:dyDescent="0.3">
      <c r="A2" t="s">
        <v>324</v>
      </c>
      <c r="B2" t="s">
        <v>27</v>
      </c>
      <c r="C2" t="s">
        <v>28</v>
      </c>
      <c r="D2" t="s">
        <v>29</v>
      </c>
      <c r="F2" t="s">
        <v>30</v>
      </c>
      <c r="G2">
        <v>15100</v>
      </c>
      <c r="H2">
        <f>IF(G2&lt;=200000,0.5%*G2,1000)</f>
        <v>75.5</v>
      </c>
      <c r="I2" s="22">
        <f>7.5%*H2</f>
        <v>5.6624999999999996</v>
      </c>
      <c r="J2" s="22">
        <f>G2-(H2+I2)</f>
        <v>15018.8375</v>
      </c>
      <c r="K2" s="22">
        <f>IF( G2&lt;=28550,0.35%*G2,100)</f>
        <v>52.849999999999994</v>
      </c>
      <c r="L2" s="22">
        <f>H2-K2</f>
        <v>22.650000000000006</v>
      </c>
      <c r="M2" t="s">
        <v>31</v>
      </c>
      <c r="N2" t="s">
        <v>325</v>
      </c>
    </row>
    <row r="3" spans="1:14" x14ac:dyDescent="0.3">
      <c r="A3" t="s">
        <v>326</v>
      </c>
      <c r="B3" t="s">
        <v>34</v>
      </c>
      <c r="C3" t="s">
        <v>28</v>
      </c>
      <c r="D3" t="s">
        <v>29</v>
      </c>
      <c r="F3" t="s">
        <v>30</v>
      </c>
      <c r="G3">
        <v>10000</v>
      </c>
      <c r="H3">
        <f t="shared" ref="H3:H6" si="0">IF(G3&lt;=200000,0.5%*G3,1000)</f>
        <v>50</v>
      </c>
      <c r="I3" s="22">
        <f t="shared" ref="I3:I6" si="1">7.5%*H3</f>
        <v>3.75</v>
      </c>
      <c r="J3" s="22">
        <f t="shared" ref="J3:J6" si="2">G3-(H3+I3)</f>
        <v>9946.25</v>
      </c>
      <c r="K3" s="22">
        <f t="shared" ref="K3:K5" si="3">IF( G3&lt;=28550,0.35%*G3,100)</f>
        <v>34.999999999999993</v>
      </c>
      <c r="L3" s="22">
        <f t="shared" ref="L3:L6" si="4">H3-K3</f>
        <v>15.000000000000007</v>
      </c>
      <c r="M3" t="s">
        <v>31</v>
      </c>
      <c r="N3" t="s">
        <v>327</v>
      </c>
    </row>
    <row r="4" spans="1:14" x14ac:dyDescent="0.3">
      <c r="A4" t="s">
        <v>328</v>
      </c>
      <c r="B4" t="s">
        <v>34</v>
      </c>
      <c r="C4" t="s">
        <v>28</v>
      </c>
      <c r="D4" t="s">
        <v>29</v>
      </c>
      <c r="F4" t="s">
        <v>30</v>
      </c>
      <c r="G4">
        <v>2100</v>
      </c>
      <c r="H4">
        <f t="shared" si="0"/>
        <v>10.5</v>
      </c>
      <c r="I4" s="22">
        <f t="shared" si="1"/>
        <v>0.78749999999999998</v>
      </c>
      <c r="J4" s="22">
        <f t="shared" si="2"/>
        <v>2088.7125000000001</v>
      </c>
      <c r="K4" s="22">
        <f t="shared" si="3"/>
        <v>7.35</v>
      </c>
      <c r="L4" s="22">
        <f t="shared" si="4"/>
        <v>3.1500000000000004</v>
      </c>
      <c r="M4" t="s">
        <v>31</v>
      </c>
      <c r="N4" t="s">
        <v>329</v>
      </c>
    </row>
    <row r="5" spans="1:14" x14ac:dyDescent="0.3">
      <c r="A5" t="s">
        <v>330</v>
      </c>
      <c r="B5" t="s">
        <v>34</v>
      </c>
      <c r="C5" t="s">
        <v>28</v>
      </c>
      <c r="D5" t="s">
        <v>29</v>
      </c>
      <c r="F5" t="s">
        <v>30</v>
      </c>
      <c r="G5">
        <v>1700</v>
      </c>
      <c r="H5">
        <f t="shared" si="0"/>
        <v>8.5</v>
      </c>
      <c r="I5" s="22">
        <f t="shared" si="1"/>
        <v>0.63749999999999996</v>
      </c>
      <c r="J5" s="22">
        <f t="shared" si="2"/>
        <v>1690.8625</v>
      </c>
      <c r="K5" s="22">
        <f t="shared" si="3"/>
        <v>5.9499999999999993</v>
      </c>
      <c r="L5" s="22">
        <f t="shared" si="4"/>
        <v>2.5500000000000007</v>
      </c>
      <c r="M5" t="s">
        <v>31</v>
      </c>
      <c r="N5" t="s">
        <v>331</v>
      </c>
    </row>
    <row r="6" spans="1:14" x14ac:dyDescent="0.3">
      <c r="G6" s="21">
        <f t="shared" ref="G6:K6" si="5">SUM(G2:G5)</f>
        <v>28900</v>
      </c>
      <c r="H6" s="15">
        <f t="shared" si="0"/>
        <v>144.5</v>
      </c>
      <c r="I6" s="21">
        <f t="shared" si="1"/>
        <v>10.8375</v>
      </c>
      <c r="J6" s="21">
        <f t="shared" si="2"/>
        <v>28744.662499999999</v>
      </c>
      <c r="K6" s="21">
        <f t="shared" si="5"/>
        <v>101.14999999999999</v>
      </c>
      <c r="L6" s="21">
        <f t="shared" si="4"/>
        <v>43.350000000000009</v>
      </c>
    </row>
    <row r="10" spans="1:14" x14ac:dyDescent="0.3">
      <c r="I10" s="22"/>
      <c r="J10" s="25"/>
      <c r="K10" s="25"/>
    </row>
    <row r="11" spans="1:14" x14ac:dyDescent="0.3">
      <c r="I11" s="22"/>
      <c r="J11" s="25"/>
      <c r="K11" s="25"/>
    </row>
    <row r="12" spans="1:14" x14ac:dyDescent="0.3">
      <c r="I12" s="22"/>
      <c r="J12" s="25"/>
      <c r="K12" s="25"/>
    </row>
    <row r="13" spans="1:14" x14ac:dyDescent="0.3">
      <c r="I13" s="22"/>
      <c r="J13" s="25"/>
      <c r="K13" s="2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F9130-378E-4C0E-83F9-40AD94994F0C}">
  <dimension ref="A1:O5"/>
  <sheetViews>
    <sheetView workbookViewId="0">
      <selection activeCell="H1" sqref="H1:L2"/>
    </sheetView>
  </sheetViews>
  <sheetFormatPr defaultRowHeight="14.4" x14ac:dyDescent="0.3"/>
  <cols>
    <col min="7" max="7" width="10.21875" bestFit="1" customWidth="1"/>
    <col min="8" max="9" width="8.77734375" bestFit="1" customWidth="1"/>
    <col min="10" max="10" width="15.21875" bestFit="1" customWidth="1"/>
    <col min="11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117</v>
      </c>
      <c r="B2" t="s">
        <v>27</v>
      </c>
      <c r="C2" t="s">
        <v>28</v>
      </c>
      <c r="D2" t="s">
        <v>29</v>
      </c>
      <c r="F2" t="s">
        <v>30</v>
      </c>
      <c r="G2">
        <v>10100</v>
      </c>
      <c r="H2">
        <f>IF(G2&lt;=200000,0.5%*G2,1000)</f>
        <v>50.5</v>
      </c>
      <c r="I2" s="22">
        <f>7.5%*H2</f>
        <v>3.7874999999999996</v>
      </c>
      <c r="J2" s="22">
        <f>G2-(H2+I2)</f>
        <v>10045.7125</v>
      </c>
      <c r="K2" s="22">
        <f>IF( G2&lt;=28550,0.35%*G2,100)</f>
        <v>35.349999999999994</v>
      </c>
      <c r="L2" s="22">
        <f>H2-K2</f>
        <v>15.150000000000006</v>
      </c>
      <c r="N2" t="s">
        <v>31</v>
      </c>
      <c r="O2" t="s">
        <v>118</v>
      </c>
    </row>
    <row r="3" spans="1:15" x14ac:dyDescent="0.3">
      <c r="A3" t="s">
        <v>119</v>
      </c>
      <c r="B3" t="s">
        <v>34</v>
      </c>
      <c r="C3" t="s">
        <v>28</v>
      </c>
      <c r="D3" t="s">
        <v>29</v>
      </c>
      <c r="F3" t="s">
        <v>30</v>
      </c>
      <c r="G3">
        <v>5000</v>
      </c>
      <c r="H3">
        <f t="shared" ref="H3:H4" si="0">IF(G3&lt;=200000,0.5%*G3,1000)</f>
        <v>25</v>
      </c>
      <c r="I3" s="22">
        <f t="shared" ref="I3:I4" si="1">7.5%*H3</f>
        <v>1.875</v>
      </c>
      <c r="J3" s="22">
        <f t="shared" ref="J3:J4" si="2">G3-(H3+I3)</f>
        <v>4973.125</v>
      </c>
      <c r="K3" s="22">
        <f t="shared" ref="K3:K4" si="3">IF( G3&lt;=28550,0.35%*G3,100)</f>
        <v>17.499999999999996</v>
      </c>
      <c r="L3" s="22">
        <f t="shared" ref="L3:L4" si="4">H3-K3</f>
        <v>7.5000000000000036</v>
      </c>
      <c r="N3" t="s">
        <v>31</v>
      </c>
      <c r="O3" t="s">
        <v>120</v>
      </c>
    </row>
    <row r="4" spans="1:15" x14ac:dyDescent="0.3">
      <c r="A4" t="s">
        <v>121</v>
      </c>
      <c r="B4" t="s">
        <v>34</v>
      </c>
      <c r="C4" t="s">
        <v>28</v>
      </c>
      <c r="D4" t="s">
        <v>29</v>
      </c>
      <c r="F4" t="s">
        <v>30</v>
      </c>
      <c r="G4">
        <v>4000</v>
      </c>
      <c r="H4">
        <f t="shared" si="0"/>
        <v>20</v>
      </c>
      <c r="I4" s="22">
        <f t="shared" si="1"/>
        <v>1.5</v>
      </c>
      <c r="J4" s="22">
        <f t="shared" si="2"/>
        <v>3978.5</v>
      </c>
      <c r="K4" s="22">
        <f t="shared" si="3"/>
        <v>13.999999999999998</v>
      </c>
      <c r="L4" s="22">
        <f t="shared" si="4"/>
        <v>6.0000000000000018</v>
      </c>
      <c r="N4" t="s">
        <v>31</v>
      </c>
      <c r="O4" t="s">
        <v>122</v>
      </c>
    </row>
    <row r="5" spans="1:15" x14ac:dyDescent="0.3">
      <c r="G5" s="21">
        <f t="shared" ref="G5:L5" si="5">SUM(G2:G4)</f>
        <v>19100</v>
      </c>
      <c r="H5" s="21">
        <f t="shared" si="5"/>
        <v>95.5</v>
      </c>
      <c r="I5" s="21">
        <f t="shared" si="5"/>
        <v>7.1624999999999996</v>
      </c>
      <c r="J5" s="21">
        <f t="shared" si="5"/>
        <v>18997.337500000001</v>
      </c>
      <c r="K5" s="21">
        <f t="shared" si="5"/>
        <v>66.849999999999994</v>
      </c>
      <c r="L5" s="21">
        <f t="shared" si="5"/>
        <v>28.650000000000013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E7E8A-D17E-4FAE-A797-49BC710E1BF7}">
  <dimension ref="A1:O8"/>
  <sheetViews>
    <sheetView workbookViewId="0">
      <selection activeCell="J12" sqref="J12"/>
    </sheetView>
  </sheetViews>
  <sheetFormatPr defaultRowHeight="14.4" x14ac:dyDescent="0.3"/>
  <cols>
    <col min="7" max="7" width="10.21875" bestFit="1" customWidth="1"/>
    <col min="8" max="8" width="13.88671875" customWidth="1"/>
    <col min="9" max="9" width="8.77734375" bestFit="1" customWidth="1"/>
    <col min="10" max="10" width="13.21875" customWidth="1"/>
    <col min="11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123</v>
      </c>
      <c r="B2" t="s">
        <v>27</v>
      </c>
      <c r="C2" t="s">
        <v>28</v>
      </c>
      <c r="D2" t="s">
        <v>29</v>
      </c>
      <c r="F2" t="s">
        <v>30</v>
      </c>
      <c r="G2">
        <v>15100</v>
      </c>
      <c r="H2">
        <f>IF(G2&lt;=200000,0.5%*G2,1000)</f>
        <v>75.5</v>
      </c>
      <c r="I2" s="22">
        <f>7.5%*H2</f>
        <v>5.6624999999999996</v>
      </c>
      <c r="J2" s="22">
        <f>G2-(H2+I2)</f>
        <v>15018.8375</v>
      </c>
      <c r="K2" s="22">
        <f>IF( G2&lt;=28550,0.35%*G2,100)</f>
        <v>52.849999999999994</v>
      </c>
      <c r="L2" s="22">
        <f>H2-K2</f>
        <v>22.650000000000006</v>
      </c>
      <c r="N2" t="s">
        <v>31</v>
      </c>
      <c r="O2" t="s">
        <v>124</v>
      </c>
    </row>
    <row r="3" spans="1:15" x14ac:dyDescent="0.3">
      <c r="A3" t="s">
        <v>125</v>
      </c>
      <c r="B3" t="s">
        <v>34</v>
      </c>
      <c r="C3" t="s">
        <v>28</v>
      </c>
      <c r="D3" t="s">
        <v>29</v>
      </c>
      <c r="F3" t="s">
        <v>30</v>
      </c>
      <c r="G3">
        <v>5100</v>
      </c>
      <c r="H3">
        <f t="shared" ref="H3:H7" si="0">IF(G3&lt;=200000,0.5%*G3,1000)</f>
        <v>25.5</v>
      </c>
      <c r="I3" s="22">
        <f t="shared" ref="I3:I7" si="1">7.5%*H3</f>
        <v>1.9124999999999999</v>
      </c>
      <c r="J3" s="22">
        <f t="shared" ref="J3:J7" si="2">G3-(H3+I3)</f>
        <v>5072.5874999999996</v>
      </c>
      <c r="K3" s="22">
        <f t="shared" ref="K3:K7" si="3">IF( G3&lt;=28550,0.35%*G3,100)</f>
        <v>17.849999999999998</v>
      </c>
      <c r="L3" s="22">
        <f t="shared" ref="L3:L7" si="4">H3-K3</f>
        <v>7.6500000000000021</v>
      </c>
      <c r="N3" t="s">
        <v>31</v>
      </c>
      <c r="O3" t="s">
        <v>126</v>
      </c>
    </row>
    <row r="4" spans="1:15" x14ac:dyDescent="0.3">
      <c r="A4" t="s">
        <v>127</v>
      </c>
      <c r="B4" t="s">
        <v>34</v>
      </c>
      <c r="C4" t="s">
        <v>28</v>
      </c>
      <c r="D4" t="s">
        <v>29</v>
      </c>
      <c r="F4" t="s">
        <v>30</v>
      </c>
      <c r="G4">
        <v>10000</v>
      </c>
      <c r="H4">
        <f t="shared" si="0"/>
        <v>50</v>
      </c>
      <c r="I4" s="22">
        <f t="shared" si="1"/>
        <v>3.75</v>
      </c>
      <c r="J4" s="22">
        <f t="shared" si="2"/>
        <v>9946.25</v>
      </c>
      <c r="K4" s="22">
        <f t="shared" si="3"/>
        <v>34.999999999999993</v>
      </c>
      <c r="L4" s="22">
        <f t="shared" si="4"/>
        <v>15.000000000000007</v>
      </c>
      <c r="N4" t="s">
        <v>31</v>
      </c>
      <c r="O4" t="s">
        <v>128</v>
      </c>
    </row>
    <row r="5" spans="1:15" x14ac:dyDescent="0.3">
      <c r="A5" t="s">
        <v>129</v>
      </c>
      <c r="B5" t="s">
        <v>34</v>
      </c>
      <c r="C5" t="s">
        <v>28</v>
      </c>
      <c r="D5" t="s">
        <v>29</v>
      </c>
      <c r="F5" t="s">
        <v>30</v>
      </c>
      <c r="G5">
        <v>1500</v>
      </c>
      <c r="H5">
        <f t="shared" si="0"/>
        <v>7.5</v>
      </c>
      <c r="I5" s="22">
        <f t="shared" si="1"/>
        <v>0.5625</v>
      </c>
      <c r="J5" s="22">
        <f t="shared" si="2"/>
        <v>1491.9375</v>
      </c>
      <c r="K5" s="22">
        <f t="shared" si="3"/>
        <v>5.2499999999999991</v>
      </c>
      <c r="L5" s="22">
        <f t="shared" si="4"/>
        <v>2.2500000000000009</v>
      </c>
      <c r="N5" t="s">
        <v>31</v>
      </c>
      <c r="O5" t="s">
        <v>130</v>
      </c>
    </row>
    <row r="6" spans="1:15" x14ac:dyDescent="0.3">
      <c r="A6" t="s">
        <v>131</v>
      </c>
      <c r="B6" t="s">
        <v>34</v>
      </c>
      <c r="C6" t="s">
        <v>28</v>
      </c>
      <c r="D6" t="s">
        <v>29</v>
      </c>
      <c r="F6" t="s">
        <v>30</v>
      </c>
      <c r="G6">
        <v>1600</v>
      </c>
      <c r="H6">
        <f t="shared" si="0"/>
        <v>8</v>
      </c>
      <c r="I6" s="22">
        <f t="shared" si="1"/>
        <v>0.6</v>
      </c>
      <c r="J6" s="22">
        <f t="shared" si="2"/>
        <v>1591.4</v>
      </c>
      <c r="K6" s="22">
        <f t="shared" si="3"/>
        <v>5.6</v>
      </c>
      <c r="L6" s="22">
        <f t="shared" si="4"/>
        <v>2.4000000000000004</v>
      </c>
      <c r="N6" t="s">
        <v>31</v>
      </c>
      <c r="O6" t="s">
        <v>132</v>
      </c>
    </row>
    <row r="7" spans="1:15" x14ac:dyDescent="0.3">
      <c r="A7" t="s">
        <v>133</v>
      </c>
      <c r="B7" t="s">
        <v>34</v>
      </c>
      <c r="C7" t="s">
        <v>28</v>
      </c>
      <c r="D7" t="s">
        <v>29</v>
      </c>
      <c r="F7" t="s">
        <v>30</v>
      </c>
      <c r="G7">
        <v>1000</v>
      </c>
      <c r="H7">
        <f t="shared" si="0"/>
        <v>5</v>
      </c>
      <c r="I7" s="22">
        <f t="shared" si="1"/>
        <v>0.375</v>
      </c>
      <c r="J7" s="22">
        <f t="shared" si="2"/>
        <v>994.625</v>
      </c>
      <c r="K7" s="22">
        <f t="shared" si="3"/>
        <v>3.4999999999999996</v>
      </c>
      <c r="L7" s="22">
        <f t="shared" si="4"/>
        <v>1.5000000000000004</v>
      </c>
      <c r="N7" t="s">
        <v>31</v>
      </c>
      <c r="O7" t="s">
        <v>134</v>
      </c>
    </row>
    <row r="8" spans="1:15" x14ac:dyDescent="0.3">
      <c r="G8" s="21">
        <f t="shared" ref="G8:L8" si="5">SUM(G2:G7)</f>
        <v>34300</v>
      </c>
      <c r="H8" s="21">
        <f t="shared" si="5"/>
        <v>171.5</v>
      </c>
      <c r="I8" s="21">
        <f t="shared" si="5"/>
        <v>12.862499999999999</v>
      </c>
      <c r="J8" s="21">
        <f t="shared" si="5"/>
        <v>34115.637499999997</v>
      </c>
      <c r="K8" s="21">
        <f t="shared" si="5"/>
        <v>120.04999999999998</v>
      </c>
      <c r="L8" s="21">
        <f t="shared" si="5"/>
        <v>51.45000000000001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9E769-9883-48FB-92EC-D9AB6CF6F179}">
  <dimension ref="A1:N7"/>
  <sheetViews>
    <sheetView workbookViewId="0">
      <selection activeCell="H1" sqref="H1:L2"/>
    </sheetView>
  </sheetViews>
  <sheetFormatPr defaultRowHeight="14.4" x14ac:dyDescent="0.3"/>
  <cols>
    <col min="7" max="7" width="10.21875" bestFit="1" customWidth="1"/>
    <col min="8" max="9" width="8.77734375" bestFit="1" customWidth="1"/>
    <col min="10" max="10" width="10.6640625" customWidth="1"/>
    <col min="11" max="11" width="8.77734375" bestFit="1" customWidth="1"/>
    <col min="12" max="12" width="14.77734375" customWidth="1"/>
  </cols>
  <sheetData>
    <row r="1" spans="1:14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24</v>
      </c>
      <c r="N1" t="s">
        <v>25</v>
      </c>
    </row>
    <row r="2" spans="1:14" x14ac:dyDescent="0.3">
      <c r="A2" t="s">
        <v>135</v>
      </c>
      <c r="B2" t="s">
        <v>27</v>
      </c>
      <c r="C2" t="s">
        <v>28</v>
      </c>
      <c r="D2" t="s">
        <v>29</v>
      </c>
      <c r="F2" t="s">
        <v>30</v>
      </c>
      <c r="G2">
        <v>10200</v>
      </c>
      <c r="H2">
        <f>IF(G2&lt;=200000,0.5%*G2,1000)</f>
        <v>51</v>
      </c>
      <c r="I2" s="22">
        <f>7.5%*H2</f>
        <v>3.8249999999999997</v>
      </c>
      <c r="J2" s="22">
        <f>G2-(H2+I2)</f>
        <v>10145.174999999999</v>
      </c>
      <c r="K2" s="22">
        <f>IF( G2&lt;=28550,0.35%*G2,100)</f>
        <v>35.699999999999996</v>
      </c>
      <c r="L2" s="22">
        <f>H2-K2</f>
        <v>15.300000000000004</v>
      </c>
      <c r="M2" t="s">
        <v>31</v>
      </c>
      <c r="N2" t="s">
        <v>136</v>
      </c>
    </row>
    <row r="3" spans="1:14" x14ac:dyDescent="0.3">
      <c r="A3" t="s">
        <v>137</v>
      </c>
      <c r="B3" t="s">
        <v>34</v>
      </c>
      <c r="C3" t="s">
        <v>28</v>
      </c>
      <c r="D3" t="s">
        <v>29</v>
      </c>
      <c r="F3" t="s">
        <v>30</v>
      </c>
      <c r="G3">
        <v>5100</v>
      </c>
      <c r="H3">
        <f t="shared" ref="H3:H6" si="0">IF(G3&lt;=200000,0.5%*G3,1000)</f>
        <v>25.5</v>
      </c>
      <c r="I3" s="22">
        <f t="shared" ref="I3:I6" si="1">7.5%*H3</f>
        <v>1.9124999999999999</v>
      </c>
      <c r="J3" s="22">
        <f t="shared" ref="J3:J6" si="2">G3-(H3+I3)</f>
        <v>5072.5874999999996</v>
      </c>
      <c r="K3" s="22">
        <f t="shared" ref="K3:K6" si="3">IF( G3&lt;=28550,0.35%*G3,100)</f>
        <v>17.849999999999998</v>
      </c>
      <c r="L3" s="22">
        <f t="shared" ref="L3:L6" si="4">H3-K3</f>
        <v>7.6500000000000021</v>
      </c>
      <c r="M3" t="s">
        <v>31</v>
      </c>
      <c r="N3" t="s">
        <v>138</v>
      </c>
    </row>
    <row r="4" spans="1:14" x14ac:dyDescent="0.3">
      <c r="A4" t="s">
        <v>139</v>
      </c>
      <c r="B4" t="s">
        <v>34</v>
      </c>
      <c r="C4" t="s">
        <v>28</v>
      </c>
      <c r="D4" t="s">
        <v>29</v>
      </c>
      <c r="F4" t="s">
        <v>30</v>
      </c>
      <c r="G4">
        <v>4100</v>
      </c>
      <c r="H4">
        <f t="shared" si="0"/>
        <v>20.5</v>
      </c>
      <c r="I4" s="22">
        <f t="shared" si="1"/>
        <v>1.5374999999999999</v>
      </c>
      <c r="J4" s="22">
        <f t="shared" si="2"/>
        <v>4077.9625000000001</v>
      </c>
      <c r="K4" s="22">
        <f t="shared" si="3"/>
        <v>14.349999999999998</v>
      </c>
      <c r="L4" s="22">
        <f t="shared" si="4"/>
        <v>6.1500000000000021</v>
      </c>
      <c r="M4" t="s">
        <v>31</v>
      </c>
      <c r="N4" t="s">
        <v>140</v>
      </c>
    </row>
    <row r="5" spans="1:14" x14ac:dyDescent="0.3">
      <c r="A5" t="s">
        <v>141</v>
      </c>
      <c r="B5" t="s">
        <v>34</v>
      </c>
      <c r="C5" t="s">
        <v>28</v>
      </c>
      <c r="D5" t="s">
        <v>29</v>
      </c>
      <c r="F5" t="s">
        <v>30</v>
      </c>
      <c r="G5">
        <v>5200</v>
      </c>
      <c r="H5">
        <f t="shared" si="0"/>
        <v>26</v>
      </c>
      <c r="I5" s="22">
        <f t="shared" si="1"/>
        <v>1.95</v>
      </c>
      <c r="J5" s="22">
        <f t="shared" si="2"/>
        <v>5172.05</v>
      </c>
      <c r="K5" s="22">
        <f t="shared" si="3"/>
        <v>18.2</v>
      </c>
      <c r="L5" s="22">
        <f t="shared" si="4"/>
        <v>7.8000000000000007</v>
      </c>
      <c r="M5" t="s">
        <v>31</v>
      </c>
      <c r="N5" t="s">
        <v>142</v>
      </c>
    </row>
    <row r="6" spans="1:14" x14ac:dyDescent="0.3">
      <c r="A6" t="s">
        <v>143</v>
      </c>
      <c r="B6" t="s">
        <v>34</v>
      </c>
      <c r="C6" t="s">
        <v>28</v>
      </c>
      <c r="D6" t="s">
        <v>29</v>
      </c>
      <c r="F6" t="s">
        <v>30</v>
      </c>
      <c r="G6">
        <v>6000</v>
      </c>
      <c r="H6">
        <f t="shared" si="0"/>
        <v>30</v>
      </c>
      <c r="I6" s="22">
        <f t="shared" si="1"/>
        <v>2.25</v>
      </c>
      <c r="J6" s="22">
        <f t="shared" si="2"/>
        <v>5967.75</v>
      </c>
      <c r="K6" s="22">
        <f t="shared" si="3"/>
        <v>20.999999999999996</v>
      </c>
      <c r="L6" s="22">
        <f t="shared" si="4"/>
        <v>9.0000000000000036</v>
      </c>
      <c r="M6" t="s">
        <v>31</v>
      </c>
      <c r="N6" t="s">
        <v>144</v>
      </c>
    </row>
    <row r="7" spans="1:14" x14ac:dyDescent="0.3">
      <c r="G7" s="21">
        <f t="shared" ref="G7:L7" si="5">SUM(G2:G6)</f>
        <v>30600</v>
      </c>
      <c r="H7" s="21">
        <f t="shared" si="5"/>
        <v>153</v>
      </c>
      <c r="I7" s="21">
        <f t="shared" si="5"/>
        <v>11.475</v>
      </c>
      <c r="J7" s="21">
        <f t="shared" si="5"/>
        <v>30435.524999999998</v>
      </c>
      <c r="K7" s="21">
        <f t="shared" si="5"/>
        <v>107.1</v>
      </c>
      <c r="L7" s="21">
        <f t="shared" si="5"/>
        <v>45.900000000000006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B98B4-1780-414C-971B-ED3144E16ADF}">
  <dimension ref="A1:O4"/>
  <sheetViews>
    <sheetView workbookViewId="0">
      <selection activeCell="H1" sqref="H1:L2"/>
    </sheetView>
  </sheetViews>
  <sheetFormatPr defaultRowHeight="14.4" x14ac:dyDescent="0.3"/>
  <cols>
    <col min="7" max="7" width="10.21875" bestFit="1" customWidth="1"/>
    <col min="8" max="9" width="8.77734375" bestFit="1" customWidth="1"/>
    <col min="10" max="10" width="11.33203125" customWidth="1"/>
    <col min="11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145</v>
      </c>
      <c r="B2" t="s">
        <v>27</v>
      </c>
      <c r="C2" t="s">
        <v>28</v>
      </c>
      <c r="D2" t="s">
        <v>29</v>
      </c>
      <c r="F2" t="s">
        <v>30</v>
      </c>
      <c r="G2">
        <v>10100</v>
      </c>
      <c r="H2">
        <f>IF(G2&lt;=200000,0.5%*G2,1000)</f>
        <v>50.5</v>
      </c>
      <c r="I2" s="22">
        <f>7.5%*H2</f>
        <v>3.7874999999999996</v>
      </c>
      <c r="J2" s="22">
        <f>G2-(H2+I2)</f>
        <v>10045.7125</v>
      </c>
      <c r="K2" s="22">
        <f>IF( G2&lt;=28550,0.35%*G2,100)</f>
        <v>35.349999999999994</v>
      </c>
      <c r="L2" s="22">
        <f>H2-K2</f>
        <v>15.150000000000006</v>
      </c>
      <c r="N2" t="s">
        <v>31</v>
      </c>
      <c r="O2" t="s">
        <v>146</v>
      </c>
    </row>
    <row r="3" spans="1:15" x14ac:dyDescent="0.3">
      <c r="A3" t="s">
        <v>147</v>
      </c>
      <c r="B3" t="s">
        <v>34</v>
      </c>
      <c r="C3" t="s">
        <v>28</v>
      </c>
      <c r="D3" t="s">
        <v>29</v>
      </c>
      <c r="F3" t="s">
        <v>30</v>
      </c>
      <c r="G3">
        <v>5000</v>
      </c>
      <c r="H3">
        <f>IF(G3&lt;=200000,0.5%*G3,1000)</f>
        <v>25</v>
      </c>
      <c r="I3" s="22">
        <f>7.5%*H3</f>
        <v>1.875</v>
      </c>
      <c r="J3" s="22">
        <f>G3-(H3+I3)</f>
        <v>4973.125</v>
      </c>
      <c r="K3" s="22">
        <f>IF( G3&lt;=28550,0.35%*G3,100)</f>
        <v>17.499999999999996</v>
      </c>
      <c r="L3" s="22">
        <f>H3-K3</f>
        <v>7.5000000000000036</v>
      </c>
      <c r="N3" t="s">
        <v>31</v>
      </c>
      <c r="O3" t="s">
        <v>148</v>
      </c>
    </row>
    <row r="4" spans="1:15" x14ac:dyDescent="0.3">
      <c r="G4" s="21">
        <f t="shared" ref="G4:L4" si="0">SUM(G2:G3)</f>
        <v>15100</v>
      </c>
      <c r="H4" s="21">
        <f t="shared" si="0"/>
        <v>75.5</v>
      </c>
      <c r="I4" s="21">
        <f t="shared" si="0"/>
        <v>5.6624999999999996</v>
      </c>
      <c r="J4" s="21">
        <f t="shared" si="0"/>
        <v>15018.8375</v>
      </c>
      <c r="K4" s="21">
        <f t="shared" si="0"/>
        <v>52.849999999999994</v>
      </c>
      <c r="L4" s="21">
        <f t="shared" si="0"/>
        <v>22.650000000000009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25621-42FD-48F0-9B34-990583E12485}">
  <dimension ref="A1:O7"/>
  <sheetViews>
    <sheetView workbookViewId="0">
      <selection activeCell="H1" sqref="H1:L2"/>
    </sheetView>
  </sheetViews>
  <sheetFormatPr defaultRowHeight="14.4" x14ac:dyDescent="0.3"/>
  <cols>
    <col min="1" max="1" width="13.6640625" customWidth="1"/>
    <col min="7" max="7" width="10.21875" bestFit="1" customWidth="1"/>
    <col min="8" max="9" width="8.77734375" bestFit="1" customWidth="1"/>
    <col min="10" max="10" width="12.5546875" customWidth="1"/>
    <col min="11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149</v>
      </c>
      <c r="B2" t="s">
        <v>27</v>
      </c>
      <c r="C2" t="s">
        <v>28</v>
      </c>
      <c r="D2" t="s">
        <v>29</v>
      </c>
      <c r="F2" t="s">
        <v>30</v>
      </c>
      <c r="G2">
        <v>15200</v>
      </c>
      <c r="H2">
        <f>IF(G2&lt;=200000,0.5%*G2,1000)</f>
        <v>76</v>
      </c>
      <c r="I2" s="22">
        <f>7.5%*H2</f>
        <v>5.7</v>
      </c>
      <c r="J2" s="22">
        <f>G2-(H2+I2)</f>
        <v>15118.3</v>
      </c>
      <c r="K2" s="22">
        <f>IF( G2&lt;=28550,0.35%*G2,100)</f>
        <v>53.199999999999996</v>
      </c>
      <c r="L2" s="22">
        <f>H2-K2</f>
        <v>22.800000000000004</v>
      </c>
      <c r="N2" t="s">
        <v>31</v>
      </c>
      <c r="O2" t="s">
        <v>150</v>
      </c>
    </row>
    <row r="3" spans="1:15" x14ac:dyDescent="0.3">
      <c r="A3" t="s">
        <v>151</v>
      </c>
      <c r="B3" t="s">
        <v>67</v>
      </c>
      <c r="C3" t="s">
        <v>28</v>
      </c>
      <c r="D3" t="s">
        <v>29</v>
      </c>
      <c r="F3" t="s">
        <v>30</v>
      </c>
      <c r="G3">
        <v>2800</v>
      </c>
      <c r="H3">
        <f t="shared" ref="H3:H6" si="0">IF(G3&lt;=200000,0.5%*G3,1000)</f>
        <v>14</v>
      </c>
      <c r="I3" s="22">
        <f t="shared" ref="I3:I6" si="1">7.5%*H3</f>
        <v>1.05</v>
      </c>
      <c r="J3" s="22">
        <f t="shared" ref="J3:J6" si="2">G3-(H3+I3)</f>
        <v>2784.95</v>
      </c>
      <c r="K3" s="22">
        <f t="shared" ref="K3:K6" si="3">IF( G3&lt;=28550,0.35%*G3,100)</f>
        <v>9.7999999999999989</v>
      </c>
      <c r="L3" s="22">
        <f t="shared" ref="L3:L6" si="4">H3-K3</f>
        <v>4.2000000000000011</v>
      </c>
      <c r="N3" t="s">
        <v>31</v>
      </c>
      <c r="O3" t="s">
        <v>152</v>
      </c>
    </row>
    <row r="4" spans="1:15" x14ac:dyDescent="0.3">
      <c r="A4" t="s">
        <v>153</v>
      </c>
      <c r="B4" t="s">
        <v>67</v>
      </c>
      <c r="C4" t="s">
        <v>28</v>
      </c>
      <c r="D4" t="s">
        <v>29</v>
      </c>
      <c r="F4" t="s">
        <v>30</v>
      </c>
      <c r="G4">
        <v>4100</v>
      </c>
      <c r="H4">
        <f t="shared" si="0"/>
        <v>20.5</v>
      </c>
      <c r="I4" s="22">
        <f t="shared" si="1"/>
        <v>1.5374999999999999</v>
      </c>
      <c r="J4" s="22">
        <f t="shared" si="2"/>
        <v>4077.9625000000001</v>
      </c>
      <c r="K4" s="22">
        <f t="shared" si="3"/>
        <v>14.349999999999998</v>
      </c>
      <c r="L4" s="22">
        <f t="shared" si="4"/>
        <v>6.1500000000000021</v>
      </c>
      <c r="N4" t="s">
        <v>31</v>
      </c>
      <c r="O4" t="s">
        <v>154</v>
      </c>
    </row>
    <row r="5" spans="1:15" x14ac:dyDescent="0.3">
      <c r="A5" t="s">
        <v>155</v>
      </c>
      <c r="B5" t="s">
        <v>67</v>
      </c>
      <c r="C5" t="s">
        <v>28</v>
      </c>
      <c r="D5" t="s">
        <v>29</v>
      </c>
      <c r="F5" t="s">
        <v>30</v>
      </c>
      <c r="G5">
        <v>1000</v>
      </c>
      <c r="H5">
        <f t="shared" si="0"/>
        <v>5</v>
      </c>
      <c r="I5" s="22">
        <f t="shared" si="1"/>
        <v>0.375</v>
      </c>
      <c r="J5" s="22">
        <f t="shared" si="2"/>
        <v>994.625</v>
      </c>
      <c r="K5" s="22">
        <f t="shared" si="3"/>
        <v>3.4999999999999996</v>
      </c>
      <c r="L5" s="22">
        <f t="shared" si="4"/>
        <v>1.5000000000000004</v>
      </c>
      <c r="N5" t="s">
        <v>31</v>
      </c>
      <c r="O5" t="s">
        <v>156</v>
      </c>
    </row>
    <row r="6" spans="1:15" x14ac:dyDescent="0.3">
      <c r="A6" t="s">
        <v>157</v>
      </c>
      <c r="B6" t="s">
        <v>34</v>
      </c>
      <c r="C6" t="s">
        <v>28</v>
      </c>
      <c r="D6" t="s">
        <v>29</v>
      </c>
      <c r="F6" t="s">
        <v>30</v>
      </c>
      <c r="G6">
        <v>3500</v>
      </c>
      <c r="H6">
        <f t="shared" si="0"/>
        <v>17.5</v>
      </c>
      <c r="I6" s="22">
        <f t="shared" si="1"/>
        <v>1.3125</v>
      </c>
      <c r="J6" s="22">
        <f t="shared" si="2"/>
        <v>3481.1875</v>
      </c>
      <c r="K6" s="22">
        <f t="shared" si="3"/>
        <v>12.249999999999998</v>
      </c>
      <c r="L6" s="22">
        <f t="shared" si="4"/>
        <v>5.2500000000000018</v>
      </c>
      <c r="N6" t="s">
        <v>31</v>
      </c>
      <c r="O6" t="s">
        <v>158</v>
      </c>
    </row>
    <row r="7" spans="1:15" x14ac:dyDescent="0.3">
      <c r="G7" s="21">
        <f t="shared" ref="G7:L7" si="5">SUM(G2:G6)</f>
        <v>26600</v>
      </c>
      <c r="H7" s="21">
        <f t="shared" si="5"/>
        <v>133</v>
      </c>
      <c r="I7" s="21">
        <f t="shared" si="5"/>
        <v>9.9749999999999996</v>
      </c>
      <c r="J7" s="21">
        <f t="shared" si="5"/>
        <v>26457.025000000001</v>
      </c>
      <c r="K7" s="21">
        <f t="shared" si="5"/>
        <v>93.1</v>
      </c>
      <c r="L7" s="21">
        <f t="shared" si="5"/>
        <v>39.900000000000006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A6123-E07B-4C0B-915E-DE3CFBFF4129}">
  <dimension ref="A1:O11"/>
  <sheetViews>
    <sheetView workbookViewId="0">
      <selection activeCell="G11" sqref="G11"/>
    </sheetView>
  </sheetViews>
  <sheetFormatPr defaultRowHeight="14.4" x14ac:dyDescent="0.3"/>
  <cols>
    <col min="5" max="5" width="20.5546875" bestFit="1" customWidth="1"/>
    <col min="7" max="7" width="10.21875" bestFit="1" customWidth="1"/>
    <col min="8" max="9" width="8.77734375" bestFit="1" customWidth="1"/>
    <col min="10" max="10" width="15.21875" bestFit="1" customWidth="1"/>
    <col min="11" max="11" width="13" bestFit="1" customWidth="1"/>
    <col min="12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159</v>
      </c>
      <c r="B2" t="s">
        <v>27</v>
      </c>
      <c r="C2" t="s">
        <v>28</v>
      </c>
      <c r="D2" t="s">
        <v>29</v>
      </c>
      <c r="F2" t="s">
        <v>30</v>
      </c>
      <c r="G2">
        <v>15100</v>
      </c>
      <c r="H2">
        <f>IF(G2&lt;=200000,0.5%*G2,1000)</f>
        <v>75.5</v>
      </c>
      <c r="I2" s="22">
        <f>7.5%*H2</f>
        <v>5.6624999999999996</v>
      </c>
      <c r="J2" s="22">
        <f>G2-(H2+I2)</f>
        <v>15018.8375</v>
      </c>
      <c r="K2" s="22">
        <f>IF( G2&lt;=28550,0.35%*G2,100)</f>
        <v>52.849999999999994</v>
      </c>
      <c r="L2" s="22">
        <f>H2-K2</f>
        <v>22.650000000000006</v>
      </c>
      <c r="N2" t="s">
        <v>31</v>
      </c>
      <c r="O2" t="s">
        <v>160</v>
      </c>
    </row>
    <row r="3" spans="1:15" x14ac:dyDescent="0.3">
      <c r="A3" t="s">
        <v>166</v>
      </c>
      <c r="B3" t="s">
        <v>34</v>
      </c>
      <c r="C3" t="s">
        <v>28</v>
      </c>
      <c r="D3" t="s">
        <v>29</v>
      </c>
      <c r="F3" t="s">
        <v>30</v>
      </c>
      <c r="G3">
        <v>2100</v>
      </c>
      <c r="H3">
        <f t="shared" ref="H3:H6" si="0">IF(G3&lt;=200000,0.5%*G3,1000)</f>
        <v>10.5</v>
      </c>
      <c r="I3" s="22">
        <f t="shared" ref="I3:I6" si="1">7.5%*H3</f>
        <v>0.78749999999999998</v>
      </c>
      <c r="J3" s="22">
        <f t="shared" ref="J3:J6" si="2">G3-(H3+I3)</f>
        <v>2088.7125000000001</v>
      </c>
      <c r="K3" s="22">
        <f t="shared" ref="K3:K6" si="3">IF( G3&lt;=28550,0.35%*G3,100)</f>
        <v>7.35</v>
      </c>
      <c r="L3" s="22">
        <f t="shared" ref="L3:L6" si="4">H3-K3</f>
        <v>3.1500000000000004</v>
      </c>
      <c r="N3" t="s">
        <v>31</v>
      </c>
      <c r="O3" t="s">
        <v>167</v>
      </c>
    </row>
    <row r="4" spans="1:15" x14ac:dyDescent="0.3">
      <c r="A4" t="s">
        <v>168</v>
      </c>
      <c r="B4" t="s">
        <v>67</v>
      </c>
      <c r="C4" t="s">
        <v>28</v>
      </c>
      <c r="D4" t="s">
        <v>29</v>
      </c>
      <c r="F4" t="s">
        <v>30</v>
      </c>
      <c r="G4">
        <v>1300</v>
      </c>
      <c r="H4">
        <f t="shared" si="0"/>
        <v>6.5</v>
      </c>
      <c r="I4" s="22">
        <f t="shared" si="1"/>
        <v>0.48749999999999999</v>
      </c>
      <c r="J4" s="22">
        <f t="shared" si="2"/>
        <v>1293.0125</v>
      </c>
      <c r="K4" s="22">
        <f t="shared" si="3"/>
        <v>4.55</v>
      </c>
      <c r="L4" s="22">
        <f t="shared" si="4"/>
        <v>1.9500000000000002</v>
      </c>
      <c r="N4" t="s">
        <v>31</v>
      </c>
      <c r="O4" t="s">
        <v>169</v>
      </c>
    </row>
    <row r="5" spans="1:15" x14ac:dyDescent="0.3">
      <c r="A5" t="s">
        <v>170</v>
      </c>
      <c r="B5" t="s">
        <v>34</v>
      </c>
      <c r="C5" t="s">
        <v>28</v>
      </c>
      <c r="D5" t="s">
        <v>29</v>
      </c>
      <c r="F5" t="s">
        <v>30</v>
      </c>
      <c r="G5">
        <v>5100</v>
      </c>
      <c r="H5">
        <f t="shared" si="0"/>
        <v>25.5</v>
      </c>
      <c r="I5" s="22">
        <f t="shared" si="1"/>
        <v>1.9124999999999999</v>
      </c>
      <c r="J5" s="22">
        <f t="shared" si="2"/>
        <v>5072.5874999999996</v>
      </c>
      <c r="K5" s="22">
        <f t="shared" si="3"/>
        <v>17.849999999999998</v>
      </c>
      <c r="L5" s="22">
        <f t="shared" si="4"/>
        <v>7.6500000000000021</v>
      </c>
      <c r="N5" t="s">
        <v>31</v>
      </c>
      <c r="O5" t="s">
        <v>171</v>
      </c>
    </row>
    <row r="6" spans="1:15" x14ac:dyDescent="0.3">
      <c r="A6" t="s">
        <v>172</v>
      </c>
      <c r="B6" t="s">
        <v>67</v>
      </c>
      <c r="C6" t="s">
        <v>28</v>
      </c>
      <c r="D6" t="s">
        <v>29</v>
      </c>
      <c r="F6" t="s">
        <v>30</v>
      </c>
      <c r="G6">
        <v>10200</v>
      </c>
      <c r="H6">
        <f t="shared" si="0"/>
        <v>51</v>
      </c>
      <c r="I6" s="22">
        <f t="shared" si="1"/>
        <v>3.8249999999999997</v>
      </c>
      <c r="J6" s="22">
        <f t="shared" si="2"/>
        <v>10145.174999999999</v>
      </c>
      <c r="K6" s="22">
        <f t="shared" si="3"/>
        <v>35.699999999999996</v>
      </c>
      <c r="L6" s="22">
        <f t="shared" si="4"/>
        <v>15.300000000000004</v>
      </c>
      <c r="N6" t="s">
        <v>31</v>
      </c>
      <c r="O6" t="s">
        <v>173</v>
      </c>
    </row>
    <row r="7" spans="1:15" x14ac:dyDescent="0.3">
      <c r="G7" s="21">
        <f t="shared" ref="G7:L7" si="5">SUM(G2:G6)</f>
        <v>33800</v>
      </c>
      <c r="H7" s="21">
        <f t="shared" si="5"/>
        <v>169</v>
      </c>
      <c r="I7" s="21">
        <f t="shared" si="5"/>
        <v>12.674999999999999</v>
      </c>
      <c r="J7" s="21">
        <f t="shared" si="5"/>
        <v>33618.324999999997</v>
      </c>
      <c r="K7" s="21">
        <f t="shared" si="5"/>
        <v>118.29999999999998</v>
      </c>
      <c r="L7" s="21">
        <f t="shared" si="5"/>
        <v>50.70000000000001</v>
      </c>
    </row>
    <row r="10" spans="1:15" x14ac:dyDescent="0.3">
      <c r="A10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s="15" t="s">
        <v>20</v>
      </c>
      <c r="H10" s="15" t="s">
        <v>21</v>
      </c>
      <c r="I10" s="15" t="s">
        <v>51</v>
      </c>
      <c r="J10" s="21" t="s">
        <v>52</v>
      </c>
      <c r="K10" s="15" t="s">
        <v>22</v>
      </c>
      <c r="L10" s="15" t="s">
        <v>53</v>
      </c>
      <c r="M10" t="s">
        <v>23</v>
      </c>
      <c r="N10" t="s">
        <v>24</v>
      </c>
      <c r="O10" t="s">
        <v>25</v>
      </c>
    </row>
    <row r="11" spans="1:15" x14ac:dyDescent="0.3">
      <c r="A11" t="s">
        <v>161</v>
      </c>
      <c r="B11" t="s">
        <v>162</v>
      </c>
      <c r="C11" t="s">
        <v>28</v>
      </c>
      <c r="D11" t="s">
        <v>163</v>
      </c>
      <c r="E11" t="s">
        <v>164</v>
      </c>
      <c r="F11" t="s">
        <v>30</v>
      </c>
      <c r="G11">
        <v>500</v>
      </c>
      <c r="H11">
        <f>1.5%*G11</f>
        <v>7.5</v>
      </c>
      <c r="I11" s="22">
        <f>7.5%*H11</f>
        <v>0.5625</v>
      </c>
      <c r="J11" s="22">
        <f>G11-(H11+I11)</f>
        <v>491.9375</v>
      </c>
      <c r="K11" s="22">
        <f>50%*H11</f>
        <v>3.75</v>
      </c>
      <c r="L11" s="22">
        <f>H11-K11</f>
        <v>3.75</v>
      </c>
      <c r="N11" t="s">
        <v>31</v>
      </c>
      <c r="O11" t="s">
        <v>165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7F01C-4912-4C00-9159-1E7B141F383D}">
  <dimension ref="A1:O15"/>
  <sheetViews>
    <sheetView workbookViewId="0">
      <selection activeCell="H1" sqref="H1:L2"/>
    </sheetView>
  </sheetViews>
  <sheetFormatPr defaultRowHeight="14.4" x14ac:dyDescent="0.3"/>
  <cols>
    <col min="7" max="7" width="10.21875" bestFit="1" customWidth="1"/>
    <col min="8" max="8" width="8.77734375" bestFit="1" customWidth="1"/>
    <col min="9" max="9" width="11.77734375" customWidth="1"/>
    <col min="10" max="10" width="15.21875" bestFit="1" customWidth="1"/>
    <col min="11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174</v>
      </c>
      <c r="B2" t="s">
        <v>27</v>
      </c>
      <c r="C2" t="s">
        <v>28</v>
      </c>
      <c r="D2" t="s">
        <v>29</v>
      </c>
      <c r="F2" t="s">
        <v>30</v>
      </c>
      <c r="G2">
        <v>50200</v>
      </c>
      <c r="H2">
        <f>IF(G2&lt;=200000,0.5%*G2,1000)</f>
        <v>251</v>
      </c>
      <c r="I2" s="22">
        <f>7.5%*H2</f>
        <v>18.824999999999999</v>
      </c>
      <c r="J2" s="22">
        <f>G2-(H2+I2)</f>
        <v>49930.175000000003</v>
      </c>
      <c r="K2" s="22">
        <f>IF( G2&lt;=28550,0.35%*G2,100)</f>
        <v>100</v>
      </c>
      <c r="L2" s="22">
        <f>H2-K2</f>
        <v>151</v>
      </c>
      <c r="N2" t="s">
        <v>31</v>
      </c>
      <c r="O2" t="s">
        <v>175</v>
      </c>
    </row>
    <row r="3" spans="1:15" x14ac:dyDescent="0.3">
      <c r="A3" t="s">
        <v>176</v>
      </c>
      <c r="B3" t="s">
        <v>34</v>
      </c>
      <c r="C3" t="s">
        <v>28</v>
      </c>
      <c r="D3" t="s">
        <v>29</v>
      </c>
      <c r="F3" t="s">
        <v>30</v>
      </c>
      <c r="G3">
        <v>1900</v>
      </c>
      <c r="H3">
        <f t="shared" ref="H3:H6" si="0">IF(G3&lt;=200000,0.5%*G3,1000)</f>
        <v>9.5</v>
      </c>
      <c r="I3" s="22">
        <f t="shared" ref="I3:I6" si="1">7.5%*H3</f>
        <v>0.71250000000000002</v>
      </c>
      <c r="J3" s="22">
        <f t="shared" ref="J3:J6" si="2">G3-(H3+I3)</f>
        <v>1889.7874999999999</v>
      </c>
      <c r="K3" s="22">
        <f t="shared" ref="K3:K6" si="3">IF( G3&lt;=28550,0.35%*G3,100)</f>
        <v>6.6499999999999995</v>
      </c>
      <c r="L3" s="22">
        <f t="shared" ref="L3:L6" si="4">H3-K3</f>
        <v>2.8500000000000005</v>
      </c>
      <c r="N3" t="s">
        <v>31</v>
      </c>
      <c r="O3" t="s">
        <v>177</v>
      </c>
    </row>
    <row r="4" spans="1:15" x14ac:dyDescent="0.3">
      <c r="A4" t="s">
        <v>178</v>
      </c>
      <c r="B4" t="s">
        <v>34</v>
      </c>
      <c r="C4" t="s">
        <v>28</v>
      </c>
      <c r="D4" t="s">
        <v>29</v>
      </c>
      <c r="F4" t="s">
        <v>30</v>
      </c>
      <c r="G4">
        <v>2600</v>
      </c>
      <c r="H4">
        <f t="shared" si="0"/>
        <v>13</v>
      </c>
      <c r="I4" s="22">
        <f t="shared" si="1"/>
        <v>0.97499999999999998</v>
      </c>
      <c r="J4" s="22">
        <f t="shared" si="2"/>
        <v>2586.0250000000001</v>
      </c>
      <c r="K4" s="22">
        <f t="shared" si="3"/>
        <v>9.1</v>
      </c>
      <c r="L4" s="22">
        <f t="shared" si="4"/>
        <v>3.9000000000000004</v>
      </c>
      <c r="N4" t="s">
        <v>31</v>
      </c>
      <c r="O4" t="s">
        <v>179</v>
      </c>
    </row>
    <row r="5" spans="1:15" x14ac:dyDescent="0.3">
      <c r="A5" t="s">
        <v>180</v>
      </c>
      <c r="B5" t="s">
        <v>67</v>
      </c>
      <c r="C5" t="s">
        <v>28</v>
      </c>
      <c r="D5" t="s">
        <v>29</v>
      </c>
      <c r="F5" t="s">
        <v>30</v>
      </c>
      <c r="G5">
        <v>3500</v>
      </c>
      <c r="H5">
        <f t="shared" si="0"/>
        <v>17.5</v>
      </c>
      <c r="I5" s="22">
        <f t="shared" si="1"/>
        <v>1.3125</v>
      </c>
      <c r="J5" s="22">
        <f t="shared" si="2"/>
        <v>3481.1875</v>
      </c>
      <c r="K5" s="22">
        <f t="shared" si="3"/>
        <v>12.249999999999998</v>
      </c>
      <c r="L5" s="22">
        <f t="shared" si="4"/>
        <v>5.2500000000000018</v>
      </c>
      <c r="N5" t="s">
        <v>31</v>
      </c>
      <c r="O5" t="s">
        <v>181</v>
      </c>
    </row>
    <row r="6" spans="1:15" x14ac:dyDescent="0.3">
      <c r="A6" t="s">
        <v>182</v>
      </c>
      <c r="B6" t="s">
        <v>67</v>
      </c>
      <c r="C6" t="s">
        <v>28</v>
      </c>
      <c r="D6" t="s">
        <v>29</v>
      </c>
      <c r="F6" t="s">
        <v>30</v>
      </c>
      <c r="G6">
        <v>4000</v>
      </c>
      <c r="H6">
        <f t="shared" si="0"/>
        <v>20</v>
      </c>
      <c r="I6" s="22">
        <f t="shared" si="1"/>
        <v>1.5</v>
      </c>
      <c r="J6" s="22">
        <f t="shared" si="2"/>
        <v>3978.5</v>
      </c>
      <c r="K6" s="22">
        <f t="shared" si="3"/>
        <v>13.999999999999998</v>
      </c>
      <c r="L6" s="22">
        <f t="shared" si="4"/>
        <v>6.0000000000000018</v>
      </c>
      <c r="N6" t="s">
        <v>31</v>
      </c>
      <c r="O6" t="s">
        <v>183</v>
      </c>
    </row>
    <row r="7" spans="1:15" x14ac:dyDescent="0.3">
      <c r="G7" s="21">
        <f t="shared" ref="G7:L7" si="5">SUM(G2:G6)</f>
        <v>62200</v>
      </c>
      <c r="H7" s="21">
        <f t="shared" si="5"/>
        <v>311</v>
      </c>
      <c r="I7" s="21">
        <f t="shared" si="5"/>
        <v>23.324999999999999</v>
      </c>
      <c r="J7" s="21">
        <f t="shared" si="5"/>
        <v>61865.675000000003</v>
      </c>
      <c r="K7" s="21">
        <f t="shared" si="5"/>
        <v>142</v>
      </c>
      <c r="L7" s="21">
        <f t="shared" si="5"/>
        <v>169</v>
      </c>
    </row>
    <row r="15" spans="1:15" x14ac:dyDescent="0.3">
      <c r="K15" t="s">
        <v>184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A55F7-CDFC-4D4F-90C7-CD88FD36E5D7}">
  <dimension ref="A1:N7"/>
  <sheetViews>
    <sheetView workbookViewId="0">
      <selection activeCell="H1" sqref="H1:L2"/>
    </sheetView>
  </sheetViews>
  <sheetFormatPr defaultRowHeight="14.4" x14ac:dyDescent="0.3"/>
  <cols>
    <col min="1" max="1" width="24" bestFit="1" customWidth="1"/>
    <col min="2" max="2" width="23.6640625" bestFit="1" customWidth="1"/>
    <col min="7" max="7" width="10.21875" bestFit="1" customWidth="1"/>
    <col min="8" max="9" width="8.77734375" bestFit="1" customWidth="1"/>
    <col min="10" max="10" width="14.77734375" customWidth="1"/>
    <col min="11" max="12" width="8.77734375" bestFit="1" customWidth="1"/>
  </cols>
  <sheetData>
    <row r="1" spans="1:14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24</v>
      </c>
      <c r="N1" t="s">
        <v>25</v>
      </c>
    </row>
    <row r="2" spans="1:14" x14ac:dyDescent="0.3">
      <c r="A2" t="s">
        <v>186</v>
      </c>
      <c r="B2" t="s">
        <v>27</v>
      </c>
      <c r="C2" t="s">
        <v>28</v>
      </c>
      <c r="D2" t="s">
        <v>29</v>
      </c>
      <c r="F2" t="s">
        <v>30</v>
      </c>
      <c r="G2">
        <v>15200</v>
      </c>
      <c r="H2">
        <f>IF(G2&lt;=200000,0.5%*G2,1000)</f>
        <v>76</v>
      </c>
      <c r="I2" s="22">
        <f>7.5%*H2</f>
        <v>5.7</v>
      </c>
      <c r="J2" s="22">
        <f>G2-(H2+I2)</f>
        <v>15118.3</v>
      </c>
      <c r="K2" s="22">
        <f>IF( G2&lt;=28550,0.35%*G2,100)</f>
        <v>53.199999999999996</v>
      </c>
      <c r="L2" s="22">
        <f>H2-K2</f>
        <v>22.800000000000004</v>
      </c>
      <c r="M2" t="s">
        <v>31</v>
      </c>
      <c r="N2" t="s">
        <v>187</v>
      </c>
    </row>
    <row r="3" spans="1:14" x14ac:dyDescent="0.3">
      <c r="A3" t="s">
        <v>188</v>
      </c>
      <c r="B3" t="s">
        <v>34</v>
      </c>
      <c r="C3" t="s">
        <v>28</v>
      </c>
      <c r="D3" t="s">
        <v>29</v>
      </c>
      <c r="F3" t="s">
        <v>30</v>
      </c>
      <c r="G3">
        <v>6100</v>
      </c>
      <c r="H3">
        <f t="shared" ref="H3:H6" si="0">IF(G3&lt;=200000,0.5%*G3,1000)</f>
        <v>30.5</v>
      </c>
      <c r="I3" s="22">
        <f t="shared" ref="I3:I6" si="1">7.5%*H3</f>
        <v>2.2875000000000001</v>
      </c>
      <c r="J3" s="22">
        <f t="shared" ref="J3:J6" si="2">G3-(H3+I3)</f>
        <v>6067.2124999999996</v>
      </c>
      <c r="K3" s="22">
        <f t="shared" ref="K3:K6" si="3">IF( G3&lt;=28550,0.35%*G3,100)</f>
        <v>21.349999999999998</v>
      </c>
      <c r="L3" s="22">
        <f t="shared" ref="L3:L6" si="4">H3-K3</f>
        <v>9.1500000000000021</v>
      </c>
      <c r="M3" t="s">
        <v>31</v>
      </c>
      <c r="N3" t="s">
        <v>189</v>
      </c>
    </row>
    <row r="4" spans="1:14" x14ac:dyDescent="0.3">
      <c r="A4" t="s">
        <v>190</v>
      </c>
      <c r="B4" t="s">
        <v>34</v>
      </c>
      <c r="C4" t="s">
        <v>28</v>
      </c>
      <c r="D4" t="s">
        <v>29</v>
      </c>
      <c r="F4" t="s">
        <v>30</v>
      </c>
      <c r="G4">
        <v>60300</v>
      </c>
      <c r="H4">
        <f t="shared" si="0"/>
        <v>301.5</v>
      </c>
      <c r="I4" s="22">
        <f t="shared" si="1"/>
        <v>22.612500000000001</v>
      </c>
      <c r="J4" s="22">
        <f t="shared" si="2"/>
        <v>59975.887499999997</v>
      </c>
      <c r="K4" s="22">
        <f t="shared" si="3"/>
        <v>100</v>
      </c>
      <c r="L4" s="22">
        <f t="shared" si="4"/>
        <v>201.5</v>
      </c>
      <c r="M4" t="s">
        <v>31</v>
      </c>
      <c r="N4" t="s">
        <v>191</v>
      </c>
    </row>
    <row r="5" spans="1:14" x14ac:dyDescent="0.3">
      <c r="A5" t="s">
        <v>192</v>
      </c>
      <c r="B5" t="s">
        <v>34</v>
      </c>
      <c r="C5" t="s">
        <v>28</v>
      </c>
      <c r="D5" t="s">
        <v>29</v>
      </c>
      <c r="F5" t="s">
        <v>30</v>
      </c>
      <c r="G5">
        <v>3000</v>
      </c>
      <c r="H5">
        <f t="shared" si="0"/>
        <v>15</v>
      </c>
      <c r="I5" s="22">
        <f t="shared" si="1"/>
        <v>1.125</v>
      </c>
      <c r="J5" s="22">
        <f t="shared" si="2"/>
        <v>2983.875</v>
      </c>
      <c r="K5" s="22">
        <f t="shared" si="3"/>
        <v>10.499999999999998</v>
      </c>
      <c r="L5" s="22">
        <f t="shared" si="4"/>
        <v>4.5000000000000018</v>
      </c>
      <c r="M5" t="s">
        <v>31</v>
      </c>
      <c r="N5" t="s">
        <v>193</v>
      </c>
    </row>
    <row r="6" spans="1:14" x14ac:dyDescent="0.3">
      <c r="A6" t="s">
        <v>194</v>
      </c>
      <c r="B6" t="s">
        <v>34</v>
      </c>
      <c r="C6" t="s">
        <v>28</v>
      </c>
      <c r="D6" t="s">
        <v>29</v>
      </c>
      <c r="F6" t="s">
        <v>30</v>
      </c>
      <c r="G6">
        <v>10200</v>
      </c>
      <c r="H6">
        <f t="shared" si="0"/>
        <v>51</v>
      </c>
      <c r="I6" s="22">
        <f t="shared" si="1"/>
        <v>3.8249999999999997</v>
      </c>
      <c r="J6" s="22">
        <f t="shared" si="2"/>
        <v>10145.174999999999</v>
      </c>
      <c r="K6" s="22">
        <f t="shared" si="3"/>
        <v>35.699999999999996</v>
      </c>
      <c r="L6" s="22">
        <f t="shared" si="4"/>
        <v>15.300000000000004</v>
      </c>
      <c r="M6" t="s">
        <v>31</v>
      </c>
      <c r="N6" t="s">
        <v>195</v>
      </c>
    </row>
    <row r="7" spans="1:14" x14ac:dyDescent="0.3">
      <c r="G7" s="21">
        <f t="shared" ref="G7:L7" si="5">SUM(G2:G6)</f>
        <v>94800</v>
      </c>
      <c r="H7" s="21">
        <f t="shared" si="5"/>
        <v>474</v>
      </c>
      <c r="I7" s="21">
        <f t="shared" si="5"/>
        <v>35.550000000000004</v>
      </c>
      <c r="J7" s="21">
        <f t="shared" si="5"/>
        <v>94290.45</v>
      </c>
      <c r="K7" s="21">
        <f t="shared" si="5"/>
        <v>220.75</v>
      </c>
      <c r="L7" s="21">
        <f t="shared" si="5"/>
        <v>253.25000000000003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594E2-F42E-48A9-8948-E0830E773355}">
  <dimension ref="A1:N6"/>
  <sheetViews>
    <sheetView workbookViewId="0">
      <selection activeCell="H1" sqref="H1:L2"/>
    </sheetView>
  </sheetViews>
  <sheetFormatPr defaultRowHeight="14.4" x14ac:dyDescent="0.3"/>
  <cols>
    <col min="7" max="7" width="10.21875" bestFit="1" customWidth="1"/>
    <col min="8" max="9" width="8.77734375" bestFit="1" customWidth="1"/>
    <col min="10" max="10" width="15.21875" bestFit="1" customWidth="1"/>
    <col min="11" max="12" width="8.77734375" bestFit="1" customWidth="1"/>
  </cols>
  <sheetData>
    <row r="1" spans="1:14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24</v>
      </c>
      <c r="N1" t="s">
        <v>25</v>
      </c>
    </row>
    <row r="2" spans="1:14" x14ac:dyDescent="0.3">
      <c r="A2" t="s">
        <v>196</v>
      </c>
      <c r="B2" t="s">
        <v>27</v>
      </c>
      <c r="C2" t="s">
        <v>28</v>
      </c>
      <c r="D2" t="s">
        <v>29</v>
      </c>
      <c r="F2" t="s">
        <v>30</v>
      </c>
      <c r="G2">
        <v>15200</v>
      </c>
      <c r="H2">
        <f>IF(G2&lt;=200000,0.5%*G2,1000)</f>
        <v>76</v>
      </c>
      <c r="I2" s="22">
        <f>7.5%*H2</f>
        <v>5.7</v>
      </c>
      <c r="J2" s="22">
        <f>G2-(H2+I2)</f>
        <v>15118.3</v>
      </c>
      <c r="K2" s="22">
        <f>IF( G2&lt;=28550,0.35%*G2,100)</f>
        <v>53.199999999999996</v>
      </c>
      <c r="L2" s="22">
        <f>H2-K2</f>
        <v>22.800000000000004</v>
      </c>
      <c r="M2" t="s">
        <v>31</v>
      </c>
      <c r="N2" t="s">
        <v>197</v>
      </c>
    </row>
    <row r="3" spans="1:14" x14ac:dyDescent="0.3">
      <c r="A3" t="s">
        <v>198</v>
      </c>
      <c r="B3" t="s">
        <v>34</v>
      </c>
      <c r="C3" t="s">
        <v>28</v>
      </c>
      <c r="D3" t="s">
        <v>29</v>
      </c>
      <c r="F3" t="s">
        <v>30</v>
      </c>
      <c r="G3">
        <v>4000</v>
      </c>
      <c r="H3">
        <f t="shared" ref="H3:H5" si="0">IF(G3&lt;=200000,0.5%*G3,1000)</f>
        <v>20</v>
      </c>
      <c r="I3" s="22">
        <f t="shared" ref="I3:I5" si="1">7.5%*H3</f>
        <v>1.5</v>
      </c>
      <c r="J3" s="22">
        <f t="shared" ref="J3:J5" si="2">G3-(H3+I3)</f>
        <v>3978.5</v>
      </c>
      <c r="K3" s="22">
        <f t="shared" ref="K3:K5" si="3">IF( G3&lt;=28550,0.35%*G3,100)</f>
        <v>13.999999999999998</v>
      </c>
      <c r="L3" s="22">
        <f t="shared" ref="L3:L5" si="4">H3-K3</f>
        <v>6.0000000000000018</v>
      </c>
      <c r="M3" t="s">
        <v>31</v>
      </c>
      <c r="N3" t="s">
        <v>199</v>
      </c>
    </row>
    <row r="4" spans="1:14" x14ac:dyDescent="0.3">
      <c r="A4" t="s">
        <v>200</v>
      </c>
      <c r="B4" t="s">
        <v>34</v>
      </c>
      <c r="C4" t="s">
        <v>28</v>
      </c>
      <c r="D4" t="s">
        <v>29</v>
      </c>
      <c r="F4" t="s">
        <v>30</v>
      </c>
      <c r="G4">
        <v>3000</v>
      </c>
      <c r="H4">
        <f t="shared" si="0"/>
        <v>15</v>
      </c>
      <c r="I4" s="22">
        <f t="shared" si="1"/>
        <v>1.125</v>
      </c>
      <c r="J4" s="22">
        <f t="shared" si="2"/>
        <v>2983.875</v>
      </c>
      <c r="K4" s="22">
        <f t="shared" si="3"/>
        <v>10.499999999999998</v>
      </c>
      <c r="L4" s="22">
        <f t="shared" si="4"/>
        <v>4.5000000000000018</v>
      </c>
      <c r="M4" t="s">
        <v>31</v>
      </c>
      <c r="N4" t="s">
        <v>201</v>
      </c>
    </row>
    <row r="5" spans="1:14" x14ac:dyDescent="0.3">
      <c r="A5" t="s">
        <v>202</v>
      </c>
      <c r="B5" t="s">
        <v>34</v>
      </c>
      <c r="C5" t="s">
        <v>28</v>
      </c>
      <c r="D5" t="s">
        <v>29</v>
      </c>
      <c r="F5" t="s">
        <v>30</v>
      </c>
      <c r="G5">
        <v>10000</v>
      </c>
      <c r="H5">
        <f t="shared" si="0"/>
        <v>50</v>
      </c>
      <c r="I5" s="22">
        <f t="shared" si="1"/>
        <v>3.75</v>
      </c>
      <c r="J5" s="22">
        <f t="shared" si="2"/>
        <v>9946.25</v>
      </c>
      <c r="K5" s="22">
        <f t="shared" si="3"/>
        <v>34.999999999999993</v>
      </c>
      <c r="L5" s="22">
        <f t="shared" si="4"/>
        <v>15.000000000000007</v>
      </c>
      <c r="M5" t="s">
        <v>31</v>
      </c>
      <c r="N5" t="s">
        <v>203</v>
      </c>
    </row>
    <row r="6" spans="1:14" x14ac:dyDescent="0.3">
      <c r="G6" s="21">
        <f t="shared" ref="G6:L6" si="5">SUM(G2:G5)</f>
        <v>32200</v>
      </c>
      <c r="H6" s="21">
        <f t="shared" si="5"/>
        <v>161</v>
      </c>
      <c r="I6" s="21">
        <f t="shared" si="5"/>
        <v>12.074999999999999</v>
      </c>
      <c r="J6" s="21">
        <f t="shared" si="5"/>
        <v>32026.924999999999</v>
      </c>
      <c r="K6" s="21">
        <f t="shared" si="5"/>
        <v>112.69999999999999</v>
      </c>
      <c r="L6" s="21">
        <f t="shared" si="5"/>
        <v>48.300000000000011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03556-0E7B-443F-B51D-07D4E7EC9B51}">
  <dimension ref="A1:O10"/>
  <sheetViews>
    <sheetView workbookViewId="0">
      <selection activeCell="H17" sqref="H17"/>
    </sheetView>
  </sheetViews>
  <sheetFormatPr defaultRowHeight="14.4" x14ac:dyDescent="0.3"/>
  <cols>
    <col min="7" max="7" width="11.21875" bestFit="1" customWidth="1"/>
    <col min="8" max="9" width="8.77734375" bestFit="1" customWidth="1"/>
    <col min="10" max="10" width="13.44140625" customWidth="1"/>
    <col min="11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204</v>
      </c>
      <c r="B2" t="s">
        <v>27</v>
      </c>
      <c r="C2" t="s">
        <v>28</v>
      </c>
      <c r="D2" t="s">
        <v>29</v>
      </c>
      <c r="F2" t="s">
        <v>30</v>
      </c>
      <c r="G2">
        <v>15200</v>
      </c>
      <c r="H2">
        <f>IF(G2&lt;=200000,0.5%*G2,1000)</f>
        <v>76</v>
      </c>
      <c r="I2" s="22">
        <f>7.5%*H2</f>
        <v>5.7</v>
      </c>
      <c r="J2" s="22">
        <f>G2-(H2+I2)</f>
        <v>15118.3</v>
      </c>
      <c r="K2" s="22">
        <f>IF( G2&lt;=28550,0.35%*G2,100)</f>
        <v>53.199999999999996</v>
      </c>
      <c r="L2" s="22">
        <f>H2-K2</f>
        <v>22.800000000000004</v>
      </c>
      <c r="N2" t="s">
        <v>31</v>
      </c>
      <c r="O2" t="s">
        <v>205</v>
      </c>
    </row>
    <row r="3" spans="1:15" x14ac:dyDescent="0.3">
      <c r="A3" t="s">
        <v>206</v>
      </c>
      <c r="B3" t="s">
        <v>34</v>
      </c>
      <c r="C3" t="s">
        <v>28</v>
      </c>
      <c r="D3" t="s">
        <v>29</v>
      </c>
      <c r="F3" t="s">
        <v>30</v>
      </c>
      <c r="G3">
        <v>4000</v>
      </c>
      <c r="H3">
        <f t="shared" ref="H3:H9" si="0">IF(G3&lt;=200000,0.5%*G3,1000)</f>
        <v>20</v>
      </c>
      <c r="I3" s="22">
        <f t="shared" ref="I3:I9" si="1">7.5%*H3</f>
        <v>1.5</v>
      </c>
      <c r="J3" s="22">
        <f t="shared" ref="J3:J9" si="2">G3-(H3+I3)</f>
        <v>3978.5</v>
      </c>
      <c r="K3" s="22">
        <f t="shared" ref="K3:K9" si="3">IF( G3&lt;=28550,0.35%*G3,100)</f>
        <v>13.999999999999998</v>
      </c>
      <c r="L3" s="22">
        <f t="shared" ref="L3:L9" si="4">H3-K3</f>
        <v>6.0000000000000018</v>
      </c>
      <c r="N3" t="s">
        <v>31</v>
      </c>
      <c r="O3" t="s">
        <v>207</v>
      </c>
    </row>
    <row r="4" spans="1:15" x14ac:dyDescent="0.3">
      <c r="A4" t="s">
        <v>208</v>
      </c>
      <c r="B4" t="s">
        <v>34</v>
      </c>
      <c r="C4" t="s">
        <v>28</v>
      </c>
      <c r="D4" t="s">
        <v>29</v>
      </c>
      <c r="F4" t="s">
        <v>30</v>
      </c>
      <c r="G4">
        <v>10000</v>
      </c>
      <c r="H4">
        <f t="shared" si="0"/>
        <v>50</v>
      </c>
      <c r="I4" s="22">
        <f t="shared" si="1"/>
        <v>3.75</v>
      </c>
      <c r="J4" s="22">
        <f t="shared" si="2"/>
        <v>9946.25</v>
      </c>
      <c r="K4" s="22">
        <f t="shared" si="3"/>
        <v>34.999999999999993</v>
      </c>
      <c r="L4" s="22">
        <f t="shared" si="4"/>
        <v>15.000000000000007</v>
      </c>
      <c r="N4" t="s">
        <v>31</v>
      </c>
      <c r="O4" t="s">
        <v>209</v>
      </c>
    </row>
    <row r="5" spans="1:15" x14ac:dyDescent="0.3">
      <c r="A5" t="s">
        <v>210</v>
      </c>
      <c r="B5" t="s">
        <v>34</v>
      </c>
      <c r="C5" t="s">
        <v>28</v>
      </c>
      <c r="D5" t="s">
        <v>29</v>
      </c>
      <c r="F5" t="s">
        <v>30</v>
      </c>
      <c r="G5">
        <v>2000</v>
      </c>
      <c r="H5">
        <f t="shared" si="0"/>
        <v>10</v>
      </c>
      <c r="I5" s="22">
        <f t="shared" si="1"/>
        <v>0.75</v>
      </c>
      <c r="J5" s="22">
        <f t="shared" si="2"/>
        <v>1989.25</v>
      </c>
      <c r="K5" s="22">
        <f t="shared" si="3"/>
        <v>6.9999999999999991</v>
      </c>
      <c r="L5" s="22">
        <f t="shared" si="4"/>
        <v>3.0000000000000009</v>
      </c>
      <c r="N5" t="s">
        <v>31</v>
      </c>
      <c r="O5" t="s">
        <v>211</v>
      </c>
    </row>
    <row r="6" spans="1:15" x14ac:dyDescent="0.3">
      <c r="A6" t="s">
        <v>212</v>
      </c>
      <c r="B6" t="s">
        <v>34</v>
      </c>
      <c r="C6" t="s">
        <v>28</v>
      </c>
      <c r="D6" t="s">
        <v>29</v>
      </c>
      <c r="F6" t="s">
        <v>30</v>
      </c>
      <c r="G6">
        <v>2100</v>
      </c>
      <c r="H6">
        <f t="shared" si="0"/>
        <v>10.5</v>
      </c>
      <c r="I6" s="22">
        <f t="shared" si="1"/>
        <v>0.78749999999999998</v>
      </c>
      <c r="J6" s="22">
        <f t="shared" si="2"/>
        <v>2088.7125000000001</v>
      </c>
      <c r="K6" s="22">
        <f t="shared" si="3"/>
        <v>7.35</v>
      </c>
      <c r="L6" s="22">
        <f t="shared" si="4"/>
        <v>3.1500000000000004</v>
      </c>
      <c r="N6" t="s">
        <v>31</v>
      </c>
      <c r="O6" t="s">
        <v>213</v>
      </c>
    </row>
    <row r="7" spans="1:15" x14ac:dyDescent="0.3">
      <c r="A7" t="s">
        <v>214</v>
      </c>
      <c r="B7" t="s">
        <v>34</v>
      </c>
      <c r="C7" t="s">
        <v>28</v>
      </c>
      <c r="D7" t="s">
        <v>29</v>
      </c>
      <c r="F7" t="s">
        <v>30</v>
      </c>
      <c r="G7">
        <v>3300</v>
      </c>
      <c r="H7">
        <f t="shared" si="0"/>
        <v>16.5</v>
      </c>
      <c r="I7" s="22">
        <f t="shared" si="1"/>
        <v>1.2375</v>
      </c>
      <c r="J7" s="22">
        <f t="shared" si="2"/>
        <v>3282.2624999999998</v>
      </c>
      <c r="K7" s="22">
        <f t="shared" si="3"/>
        <v>11.549999999999999</v>
      </c>
      <c r="L7" s="22">
        <f t="shared" si="4"/>
        <v>4.9500000000000011</v>
      </c>
      <c r="N7" t="s">
        <v>31</v>
      </c>
      <c r="O7" t="s">
        <v>215</v>
      </c>
    </row>
    <row r="8" spans="1:15" x14ac:dyDescent="0.3">
      <c r="A8" t="s">
        <v>216</v>
      </c>
      <c r="B8" t="s">
        <v>34</v>
      </c>
      <c r="C8" t="s">
        <v>28</v>
      </c>
      <c r="D8" t="s">
        <v>29</v>
      </c>
      <c r="F8" t="s">
        <v>30</v>
      </c>
      <c r="G8">
        <v>71000</v>
      </c>
      <c r="H8">
        <f t="shared" si="0"/>
        <v>355</v>
      </c>
      <c r="I8" s="22">
        <f t="shared" si="1"/>
        <v>26.625</v>
      </c>
      <c r="J8" s="22">
        <f t="shared" si="2"/>
        <v>70618.375</v>
      </c>
      <c r="K8" s="22">
        <f t="shared" si="3"/>
        <v>100</v>
      </c>
      <c r="L8" s="22">
        <f t="shared" si="4"/>
        <v>255</v>
      </c>
      <c r="N8" t="s">
        <v>31</v>
      </c>
      <c r="O8" t="s">
        <v>217</v>
      </c>
    </row>
    <row r="9" spans="1:15" x14ac:dyDescent="0.3">
      <c r="A9" t="s">
        <v>218</v>
      </c>
      <c r="B9" t="s">
        <v>34</v>
      </c>
      <c r="C9" t="s">
        <v>28</v>
      </c>
      <c r="D9" t="s">
        <v>29</v>
      </c>
      <c r="F9" t="s">
        <v>30</v>
      </c>
      <c r="G9">
        <v>10200</v>
      </c>
      <c r="H9">
        <f t="shared" si="0"/>
        <v>51</v>
      </c>
      <c r="I9" s="22">
        <f t="shared" si="1"/>
        <v>3.8249999999999997</v>
      </c>
      <c r="J9" s="22">
        <f t="shared" si="2"/>
        <v>10145.174999999999</v>
      </c>
      <c r="K9" s="22">
        <f t="shared" si="3"/>
        <v>35.699999999999996</v>
      </c>
      <c r="L9" s="22">
        <f t="shared" si="4"/>
        <v>15.300000000000004</v>
      </c>
      <c r="N9" t="s">
        <v>31</v>
      </c>
      <c r="O9" t="s">
        <v>219</v>
      </c>
    </row>
    <row r="10" spans="1:15" x14ac:dyDescent="0.3">
      <c r="G10" s="21">
        <f t="shared" ref="G10:L10" si="5">SUM(G2:G9)</f>
        <v>117800</v>
      </c>
      <c r="H10" s="21">
        <f t="shared" si="5"/>
        <v>589</v>
      </c>
      <c r="I10" s="21">
        <f t="shared" si="5"/>
        <v>44.175000000000004</v>
      </c>
      <c r="J10" s="21">
        <f t="shared" si="5"/>
        <v>117166.825</v>
      </c>
      <c r="K10" s="21">
        <f t="shared" si="5"/>
        <v>263.8</v>
      </c>
      <c r="L10" s="21">
        <f t="shared" si="5"/>
        <v>325.20000000000005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23F9F-D558-4095-B84E-F3D7127EA308}">
  <dimension ref="A1:O5"/>
  <sheetViews>
    <sheetView workbookViewId="0">
      <selection activeCell="H1" sqref="H1:L2"/>
    </sheetView>
  </sheetViews>
  <sheetFormatPr defaultRowHeight="14.4" x14ac:dyDescent="0.3"/>
  <cols>
    <col min="2" max="2" width="23.6640625" bestFit="1" customWidth="1"/>
    <col min="7" max="7" width="10.21875" bestFit="1" customWidth="1"/>
    <col min="8" max="9" width="8.77734375" bestFit="1" customWidth="1"/>
    <col min="10" max="10" width="15.21875" bestFit="1" customWidth="1"/>
    <col min="11" max="12" width="8.77734375" bestFit="1" customWidth="1"/>
    <col min="16" max="16" width="17.77734375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220</v>
      </c>
      <c r="B2" t="s">
        <v>27</v>
      </c>
      <c r="C2" t="s">
        <v>28</v>
      </c>
      <c r="D2" t="s">
        <v>29</v>
      </c>
      <c r="F2" t="s">
        <v>30</v>
      </c>
      <c r="G2">
        <v>14900</v>
      </c>
      <c r="H2">
        <f>IF(G2&lt;=200000,0.5%*G2,1000)</f>
        <v>74.5</v>
      </c>
      <c r="I2" s="22">
        <f>7.5%*H2</f>
        <v>5.5874999999999995</v>
      </c>
      <c r="J2" s="22">
        <f>G2-(H2+I2)</f>
        <v>14819.9125</v>
      </c>
      <c r="K2" s="22">
        <f>IF( G2&lt;=28550,0.35%*G2,100)</f>
        <v>52.149999999999991</v>
      </c>
      <c r="L2" s="22">
        <f>H2-K2</f>
        <v>22.350000000000009</v>
      </c>
      <c r="N2" t="s">
        <v>31</v>
      </c>
      <c r="O2" t="s">
        <v>221</v>
      </c>
    </row>
    <row r="3" spans="1:15" x14ac:dyDescent="0.3">
      <c r="A3" t="s">
        <v>222</v>
      </c>
      <c r="B3" t="s">
        <v>34</v>
      </c>
      <c r="C3" t="s">
        <v>28</v>
      </c>
      <c r="D3" t="s">
        <v>29</v>
      </c>
      <c r="F3" t="s">
        <v>30</v>
      </c>
      <c r="G3">
        <v>3100</v>
      </c>
      <c r="H3">
        <f t="shared" ref="H3:H4" si="0">IF(G3&lt;=200000,0.5%*G3,1000)</f>
        <v>15.5</v>
      </c>
      <c r="I3" s="22">
        <f t="shared" ref="I3:I4" si="1">7.5%*H3</f>
        <v>1.1624999999999999</v>
      </c>
      <c r="J3" s="22">
        <f t="shared" ref="J3:J4" si="2">G3-(H3+I3)</f>
        <v>3083.3375000000001</v>
      </c>
      <c r="K3" s="22">
        <f t="shared" ref="K3:K4" si="3">IF( G3&lt;=28550,0.35%*G3,100)</f>
        <v>10.85</v>
      </c>
      <c r="L3" s="22">
        <f t="shared" ref="L3:L4" si="4">H3-K3</f>
        <v>4.6500000000000004</v>
      </c>
      <c r="N3" t="s">
        <v>31</v>
      </c>
      <c r="O3" t="s">
        <v>223</v>
      </c>
    </row>
    <row r="4" spans="1:15" x14ac:dyDescent="0.3">
      <c r="A4" t="s">
        <v>224</v>
      </c>
      <c r="B4" t="s">
        <v>34</v>
      </c>
      <c r="C4" t="s">
        <v>28</v>
      </c>
      <c r="D4" t="s">
        <v>29</v>
      </c>
      <c r="F4" t="s">
        <v>30</v>
      </c>
      <c r="G4">
        <v>5100</v>
      </c>
      <c r="H4">
        <f t="shared" si="0"/>
        <v>25.5</v>
      </c>
      <c r="I4" s="22">
        <f t="shared" si="1"/>
        <v>1.9124999999999999</v>
      </c>
      <c r="J4" s="22">
        <f t="shared" si="2"/>
        <v>5072.5874999999996</v>
      </c>
      <c r="K4" s="22">
        <f t="shared" si="3"/>
        <v>17.849999999999998</v>
      </c>
      <c r="L4" s="22">
        <f t="shared" si="4"/>
        <v>7.6500000000000021</v>
      </c>
      <c r="N4" t="s">
        <v>31</v>
      </c>
      <c r="O4" t="s">
        <v>225</v>
      </c>
    </row>
    <row r="5" spans="1:15" x14ac:dyDescent="0.3">
      <c r="G5" s="21">
        <f t="shared" ref="G5:L5" si="5">SUM(G2:G4)</f>
        <v>23100</v>
      </c>
      <c r="H5" s="21">
        <f t="shared" si="5"/>
        <v>115.5</v>
      </c>
      <c r="I5" s="21">
        <f t="shared" si="5"/>
        <v>8.6624999999999996</v>
      </c>
      <c r="J5" s="21">
        <f t="shared" si="5"/>
        <v>22975.837500000001</v>
      </c>
      <c r="K5" s="21">
        <f t="shared" si="5"/>
        <v>80.849999999999994</v>
      </c>
      <c r="L5" s="21">
        <f t="shared" si="5"/>
        <v>34.650000000000006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00BB6-B47F-44FC-879B-9435CE402A3F}">
  <dimension ref="A1:N9"/>
  <sheetViews>
    <sheetView workbookViewId="0">
      <selection activeCell="J14" sqref="J14"/>
    </sheetView>
  </sheetViews>
  <sheetFormatPr defaultRowHeight="14.4" x14ac:dyDescent="0.3"/>
  <cols>
    <col min="2" max="2" width="23.6640625" bestFit="1" customWidth="1"/>
    <col min="7" max="7" width="10.21875" bestFit="1" customWidth="1"/>
    <col min="8" max="8" width="8.77734375" bestFit="1" customWidth="1"/>
    <col min="9" max="9" width="13.33203125" bestFit="1" customWidth="1"/>
    <col min="10" max="10" width="13.109375" customWidth="1"/>
    <col min="11" max="12" width="8.77734375" bestFit="1" customWidth="1"/>
  </cols>
  <sheetData>
    <row r="1" spans="1:14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24</v>
      </c>
      <c r="N1" t="s">
        <v>25</v>
      </c>
    </row>
    <row r="2" spans="1:14" x14ac:dyDescent="0.3">
      <c r="A2" t="s">
        <v>226</v>
      </c>
      <c r="B2" t="s">
        <v>34</v>
      </c>
      <c r="C2" t="s">
        <v>28</v>
      </c>
      <c r="D2" t="s">
        <v>29</v>
      </c>
      <c r="F2" t="s">
        <v>30</v>
      </c>
      <c r="G2">
        <v>1900</v>
      </c>
      <c r="H2">
        <f>IF(G2&lt;=200000,0.5%*G2,1000)</f>
        <v>9.5</v>
      </c>
      <c r="I2" s="22">
        <f>7.5%*H2</f>
        <v>0.71250000000000002</v>
      </c>
      <c r="J2" s="22">
        <f>G2-(H2+I2)</f>
        <v>1889.7874999999999</v>
      </c>
      <c r="K2" s="22">
        <f>IF( G2&lt;=28550,0.35%*G2,100)</f>
        <v>6.6499999999999995</v>
      </c>
      <c r="L2" s="22">
        <f>H2-K2</f>
        <v>2.8500000000000005</v>
      </c>
      <c r="M2" t="s">
        <v>31</v>
      </c>
      <c r="N2" t="s">
        <v>227</v>
      </c>
    </row>
    <row r="3" spans="1:14" x14ac:dyDescent="0.3">
      <c r="A3" t="s">
        <v>228</v>
      </c>
      <c r="B3" t="s">
        <v>34</v>
      </c>
      <c r="C3" t="s">
        <v>28</v>
      </c>
      <c r="D3" t="s">
        <v>29</v>
      </c>
      <c r="F3" t="s">
        <v>30</v>
      </c>
      <c r="G3">
        <v>2100</v>
      </c>
      <c r="H3">
        <f t="shared" ref="H3:H8" si="0">IF(G3&lt;=200000,0.5%*G3,1000)</f>
        <v>10.5</v>
      </c>
      <c r="I3" s="22">
        <f t="shared" ref="I3:I8" si="1">7.5%*H3</f>
        <v>0.78749999999999998</v>
      </c>
      <c r="J3" s="22">
        <f t="shared" ref="J3:J8" si="2">G3-(H3+I3)</f>
        <v>2088.7125000000001</v>
      </c>
      <c r="K3" s="22">
        <f t="shared" ref="K3:K8" si="3">IF( G3&lt;=28550,0.35%*G3,100)</f>
        <v>7.35</v>
      </c>
      <c r="L3" s="22">
        <f t="shared" ref="L3:L8" si="4">H3-K3</f>
        <v>3.1500000000000004</v>
      </c>
      <c r="M3" t="s">
        <v>31</v>
      </c>
      <c r="N3" t="s">
        <v>229</v>
      </c>
    </row>
    <row r="4" spans="1:14" x14ac:dyDescent="0.3">
      <c r="A4" t="s">
        <v>230</v>
      </c>
      <c r="B4" t="s">
        <v>34</v>
      </c>
      <c r="C4" t="s">
        <v>28</v>
      </c>
      <c r="D4" t="s">
        <v>29</v>
      </c>
      <c r="F4" t="s">
        <v>30</v>
      </c>
      <c r="G4">
        <v>5000</v>
      </c>
      <c r="H4">
        <f t="shared" si="0"/>
        <v>25</v>
      </c>
      <c r="I4" s="22">
        <f t="shared" si="1"/>
        <v>1.875</v>
      </c>
      <c r="J4" s="22">
        <f t="shared" si="2"/>
        <v>4973.125</v>
      </c>
      <c r="K4" s="22">
        <f t="shared" si="3"/>
        <v>17.499999999999996</v>
      </c>
      <c r="L4" s="22">
        <f t="shared" si="4"/>
        <v>7.5000000000000036</v>
      </c>
      <c r="M4" t="s">
        <v>31</v>
      </c>
      <c r="N4" t="s">
        <v>231</v>
      </c>
    </row>
    <row r="5" spans="1:14" x14ac:dyDescent="0.3">
      <c r="A5" t="s">
        <v>232</v>
      </c>
      <c r="B5" t="s">
        <v>34</v>
      </c>
      <c r="C5" t="s">
        <v>28</v>
      </c>
      <c r="D5" t="s">
        <v>29</v>
      </c>
      <c r="F5" t="s">
        <v>30</v>
      </c>
      <c r="G5">
        <v>2100</v>
      </c>
      <c r="H5">
        <f t="shared" si="0"/>
        <v>10.5</v>
      </c>
      <c r="I5" s="22">
        <f t="shared" si="1"/>
        <v>0.78749999999999998</v>
      </c>
      <c r="J5" s="22">
        <f t="shared" si="2"/>
        <v>2088.7125000000001</v>
      </c>
      <c r="K5" s="22">
        <f t="shared" si="3"/>
        <v>7.35</v>
      </c>
      <c r="L5" s="22">
        <f t="shared" si="4"/>
        <v>3.1500000000000004</v>
      </c>
      <c r="M5" t="s">
        <v>31</v>
      </c>
      <c r="N5" t="s">
        <v>233</v>
      </c>
    </row>
    <row r="6" spans="1:14" x14ac:dyDescent="0.3">
      <c r="A6" t="s">
        <v>234</v>
      </c>
      <c r="B6" t="s">
        <v>34</v>
      </c>
      <c r="C6" t="s">
        <v>28</v>
      </c>
      <c r="D6" t="s">
        <v>29</v>
      </c>
      <c r="F6" t="s">
        <v>30</v>
      </c>
      <c r="G6">
        <v>5100</v>
      </c>
      <c r="H6">
        <f t="shared" si="0"/>
        <v>25.5</v>
      </c>
      <c r="I6" s="22">
        <f t="shared" si="1"/>
        <v>1.9124999999999999</v>
      </c>
      <c r="J6" s="22">
        <f t="shared" si="2"/>
        <v>5072.5874999999996</v>
      </c>
      <c r="K6" s="22">
        <f t="shared" si="3"/>
        <v>17.849999999999998</v>
      </c>
      <c r="L6" s="22">
        <f t="shared" si="4"/>
        <v>7.6500000000000021</v>
      </c>
      <c r="M6" t="s">
        <v>31</v>
      </c>
      <c r="N6" t="s">
        <v>235</v>
      </c>
    </row>
    <row r="7" spans="1:14" x14ac:dyDescent="0.3">
      <c r="A7" t="s">
        <v>236</v>
      </c>
      <c r="B7" t="s">
        <v>34</v>
      </c>
      <c r="C7" t="s">
        <v>28</v>
      </c>
      <c r="D7" t="s">
        <v>29</v>
      </c>
      <c r="F7" t="s">
        <v>30</v>
      </c>
      <c r="G7">
        <v>2100</v>
      </c>
      <c r="H7">
        <f t="shared" si="0"/>
        <v>10.5</v>
      </c>
      <c r="I7" s="22">
        <f t="shared" si="1"/>
        <v>0.78749999999999998</v>
      </c>
      <c r="J7" s="22">
        <f t="shared" si="2"/>
        <v>2088.7125000000001</v>
      </c>
      <c r="K7" s="22">
        <f t="shared" si="3"/>
        <v>7.35</v>
      </c>
      <c r="L7" s="22">
        <f t="shared" si="4"/>
        <v>3.1500000000000004</v>
      </c>
      <c r="M7" t="s">
        <v>31</v>
      </c>
      <c r="N7" t="s">
        <v>237</v>
      </c>
    </row>
    <row r="8" spans="1:14" x14ac:dyDescent="0.3">
      <c r="A8" t="s">
        <v>238</v>
      </c>
      <c r="B8" t="s">
        <v>34</v>
      </c>
      <c r="C8" t="s">
        <v>28</v>
      </c>
      <c r="D8" t="s">
        <v>29</v>
      </c>
      <c r="F8" t="s">
        <v>30</v>
      </c>
      <c r="G8">
        <v>12000</v>
      </c>
      <c r="H8">
        <f t="shared" si="0"/>
        <v>60</v>
      </c>
      <c r="I8" s="22">
        <f t="shared" si="1"/>
        <v>4.5</v>
      </c>
      <c r="J8" s="22">
        <f t="shared" si="2"/>
        <v>11935.5</v>
      </c>
      <c r="K8" s="22">
        <f t="shared" si="3"/>
        <v>41.999999999999993</v>
      </c>
      <c r="L8" s="22">
        <f t="shared" si="4"/>
        <v>18.000000000000007</v>
      </c>
      <c r="M8" t="s">
        <v>31</v>
      </c>
      <c r="N8" t="s">
        <v>239</v>
      </c>
    </row>
    <row r="9" spans="1:14" x14ac:dyDescent="0.3">
      <c r="G9" s="21">
        <f t="shared" ref="G9:L9" si="5">SUM(G2:G8)</f>
        <v>30300</v>
      </c>
      <c r="H9" s="21">
        <f t="shared" si="5"/>
        <v>151.5</v>
      </c>
      <c r="I9" s="21">
        <f t="shared" si="5"/>
        <v>11.362499999999999</v>
      </c>
      <c r="J9" s="21">
        <f t="shared" si="5"/>
        <v>30137.137500000001</v>
      </c>
      <c r="K9" s="21">
        <f t="shared" si="5"/>
        <v>106.04999999999998</v>
      </c>
      <c r="L9" s="21">
        <f t="shared" si="5"/>
        <v>45.450000000000017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99A68-2635-4FE4-A7C2-8DB5ADB00817}">
  <dimension ref="A1:O8"/>
  <sheetViews>
    <sheetView workbookViewId="0">
      <selection activeCell="H1" sqref="H1:M2"/>
    </sheetView>
  </sheetViews>
  <sheetFormatPr defaultRowHeight="14.4" x14ac:dyDescent="0.3"/>
  <cols>
    <col min="1" max="1" width="23.5546875" bestFit="1" customWidth="1"/>
    <col min="7" max="7" width="10.21875" bestFit="1" customWidth="1"/>
    <col min="8" max="9" width="8.77734375" bestFit="1" customWidth="1"/>
    <col min="10" max="10" width="12.77734375" customWidth="1"/>
    <col min="11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240</v>
      </c>
      <c r="B2" t="s">
        <v>67</v>
      </c>
      <c r="C2" t="s">
        <v>28</v>
      </c>
      <c r="D2" t="s">
        <v>29</v>
      </c>
      <c r="F2" t="s">
        <v>30</v>
      </c>
      <c r="G2">
        <v>6100</v>
      </c>
      <c r="H2">
        <f>IF(G2&lt;=200000,0.5%*G2,1000)</f>
        <v>30.5</v>
      </c>
      <c r="I2" s="22">
        <f>7.5%*H2</f>
        <v>2.2875000000000001</v>
      </c>
      <c r="J2" s="22">
        <f>G2-(H2+I2)</f>
        <v>6067.2124999999996</v>
      </c>
      <c r="K2" s="22">
        <f>IF( G2&lt;=28550,0.35%*G2,100)</f>
        <v>21.349999999999998</v>
      </c>
      <c r="L2" s="22">
        <f>H2-K2</f>
        <v>9.1500000000000021</v>
      </c>
      <c r="N2" t="s">
        <v>31</v>
      </c>
      <c r="O2" t="s">
        <v>241</v>
      </c>
    </row>
    <row r="3" spans="1:15" x14ac:dyDescent="0.3">
      <c r="A3" t="s">
        <v>242</v>
      </c>
      <c r="B3" t="s">
        <v>67</v>
      </c>
      <c r="C3" t="s">
        <v>28</v>
      </c>
      <c r="D3" t="s">
        <v>29</v>
      </c>
      <c r="F3" t="s">
        <v>30</v>
      </c>
      <c r="G3">
        <v>5100</v>
      </c>
      <c r="H3">
        <f t="shared" ref="H3:H7" si="0">IF(G3&lt;=200000,0.5%*G3,1000)</f>
        <v>25.5</v>
      </c>
      <c r="I3" s="22">
        <f t="shared" ref="I3:I7" si="1">7.5%*H3</f>
        <v>1.9124999999999999</v>
      </c>
      <c r="J3" s="22">
        <f t="shared" ref="J3:J7" si="2">G3-(H3+I3)</f>
        <v>5072.5874999999996</v>
      </c>
      <c r="K3" s="22">
        <f t="shared" ref="K3:K7" si="3">IF( G3&lt;=28550,0.35%*G3,100)</f>
        <v>17.849999999999998</v>
      </c>
      <c r="L3" s="22">
        <f t="shared" ref="L3:L7" si="4">H3-K3</f>
        <v>7.6500000000000021</v>
      </c>
      <c r="N3" t="s">
        <v>31</v>
      </c>
      <c r="O3" t="s">
        <v>243</v>
      </c>
    </row>
    <row r="4" spans="1:15" x14ac:dyDescent="0.3">
      <c r="A4" t="s">
        <v>244</v>
      </c>
      <c r="B4" t="s">
        <v>34</v>
      </c>
      <c r="C4" t="s">
        <v>28</v>
      </c>
      <c r="D4" t="s">
        <v>29</v>
      </c>
      <c r="F4" t="s">
        <v>30</v>
      </c>
      <c r="G4">
        <v>3100</v>
      </c>
      <c r="H4">
        <f t="shared" si="0"/>
        <v>15.5</v>
      </c>
      <c r="I4" s="22">
        <f t="shared" si="1"/>
        <v>1.1624999999999999</v>
      </c>
      <c r="J4" s="22">
        <f t="shared" si="2"/>
        <v>3083.3375000000001</v>
      </c>
      <c r="K4" s="22">
        <f t="shared" si="3"/>
        <v>10.85</v>
      </c>
      <c r="L4" s="22">
        <f t="shared" si="4"/>
        <v>4.6500000000000004</v>
      </c>
      <c r="N4" t="s">
        <v>31</v>
      </c>
      <c r="O4" t="s">
        <v>245</v>
      </c>
    </row>
    <row r="5" spans="1:15" x14ac:dyDescent="0.3">
      <c r="A5" t="s">
        <v>246</v>
      </c>
      <c r="B5" t="s">
        <v>67</v>
      </c>
      <c r="C5" t="s">
        <v>28</v>
      </c>
      <c r="D5" t="s">
        <v>29</v>
      </c>
      <c r="F5" t="s">
        <v>30</v>
      </c>
      <c r="G5">
        <v>2000</v>
      </c>
      <c r="H5">
        <f t="shared" si="0"/>
        <v>10</v>
      </c>
      <c r="I5" s="22">
        <f t="shared" si="1"/>
        <v>0.75</v>
      </c>
      <c r="J5" s="22">
        <f t="shared" si="2"/>
        <v>1989.25</v>
      </c>
      <c r="K5" s="22">
        <f t="shared" si="3"/>
        <v>6.9999999999999991</v>
      </c>
      <c r="L5" s="22">
        <f t="shared" si="4"/>
        <v>3.0000000000000009</v>
      </c>
      <c r="N5" t="s">
        <v>31</v>
      </c>
      <c r="O5" t="s">
        <v>247</v>
      </c>
    </row>
    <row r="6" spans="1:15" x14ac:dyDescent="0.3">
      <c r="A6" t="s">
        <v>248</v>
      </c>
      <c r="B6" t="s">
        <v>67</v>
      </c>
      <c r="C6" t="s">
        <v>28</v>
      </c>
      <c r="D6" t="s">
        <v>29</v>
      </c>
      <c r="F6" t="s">
        <v>30</v>
      </c>
      <c r="G6">
        <v>4000</v>
      </c>
      <c r="H6">
        <f t="shared" si="0"/>
        <v>20</v>
      </c>
      <c r="I6" s="22">
        <f t="shared" si="1"/>
        <v>1.5</v>
      </c>
      <c r="J6" s="22">
        <f t="shared" si="2"/>
        <v>3978.5</v>
      </c>
      <c r="K6" s="22">
        <f t="shared" si="3"/>
        <v>13.999999999999998</v>
      </c>
      <c r="L6" s="22">
        <f t="shared" si="4"/>
        <v>6.0000000000000018</v>
      </c>
      <c r="N6" t="s">
        <v>31</v>
      </c>
      <c r="O6" t="s">
        <v>249</v>
      </c>
    </row>
    <row r="7" spans="1:15" x14ac:dyDescent="0.3">
      <c r="A7" t="s">
        <v>250</v>
      </c>
      <c r="B7" t="s">
        <v>34</v>
      </c>
      <c r="C7" t="s">
        <v>28</v>
      </c>
      <c r="D7" t="s">
        <v>29</v>
      </c>
      <c r="F7" t="s">
        <v>30</v>
      </c>
      <c r="G7">
        <v>8200</v>
      </c>
      <c r="H7">
        <f t="shared" si="0"/>
        <v>41</v>
      </c>
      <c r="I7" s="22">
        <f t="shared" si="1"/>
        <v>3.0749999999999997</v>
      </c>
      <c r="J7" s="22">
        <f t="shared" si="2"/>
        <v>8155.9250000000002</v>
      </c>
      <c r="K7" s="22">
        <f t="shared" si="3"/>
        <v>28.699999999999996</v>
      </c>
      <c r="L7" s="22">
        <f t="shared" si="4"/>
        <v>12.300000000000004</v>
      </c>
      <c r="N7" t="s">
        <v>31</v>
      </c>
      <c r="O7" t="s">
        <v>251</v>
      </c>
    </row>
    <row r="8" spans="1:15" x14ac:dyDescent="0.3">
      <c r="G8" s="21">
        <f t="shared" ref="G8:L8" si="5">SUM(G2:G7)</f>
        <v>28500</v>
      </c>
      <c r="H8" s="21">
        <f t="shared" si="5"/>
        <v>142.5</v>
      </c>
      <c r="I8" s="21">
        <f t="shared" si="5"/>
        <v>10.6875</v>
      </c>
      <c r="J8" s="21">
        <f t="shared" si="5"/>
        <v>28346.812499999996</v>
      </c>
      <c r="K8" s="21">
        <f t="shared" si="5"/>
        <v>99.75</v>
      </c>
      <c r="L8" s="21">
        <f t="shared" si="5"/>
        <v>42.750000000000007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D3721-C1AC-4DDB-9ED2-EA2207F03E5B}">
  <dimension ref="A1"/>
  <sheetViews>
    <sheetView workbookViewId="0">
      <selection activeCell="F13" sqref="F13"/>
    </sheetView>
  </sheetViews>
  <sheetFormatPr defaultRowHeight="14.4" x14ac:dyDescent="0.3"/>
  <cols>
    <col min="1" max="1" width="20.77734375" customWidth="1"/>
  </cols>
  <sheetData>
    <row r="1" spans="1:1" x14ac:dyDescent="0.3">
      <c r="A1" s="15" t="s">
        <v>262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1E816-E650-4C05-BA5A-45D6772362B6}">
  <dimension ref="A1:O7"/>
  <sheetViews>
    <sheetView workbookViewId="0">
      <selection activeCell="H1" sqref="H1:L2"/>
    </sheetView>
  </sheetViews>
  <sheetFormatPr defaultRowHeight="14.4" x14ac:dyDescent="0.3"/>
  <cols>
    <col min="7" max="7" width="10.21875" bestFit="1" customWidth="1"/>
    <col min="8" max="9" width="8.77734375" bestFit="1" customWidth="1"/>
    <col min="10" max="10" width="12.109375" customWidth="1"/>
    <col min="11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252</v>
      </c>
      <c r="B2" t="s">
        <v>34</v>
      </c>
      <c r="C2" t="s">
        <v>28</v>
      </c>
      <c r="D2" t="s">
        <v>29</v>
      </c>
      <c r="F2" t="s">
        <v>30</v>
      </c>
      <c r="G2">
        <v>2100</v>
      </c>
      <c r="H2">
        <f>IF(G2&lt;=200000,0.5%*G2,1000)</f>
        <v>10.5</v>
      </c>
      <c r="I2" s="22">
        <f>7.5%*H2</f>
        <v>0.78749999999999998</v>
      </c>
      <c r="J2" s="22">
        <f>G2-(H2+I2)</f>
        <v>2088.7125000000001</v>
      </c>
      <c r="K2" s="22">
        <f>IF( G2&lt;=28550,0.35%*G2,100)</f>
        <v>7.35</v>
      </c>
      <c r="L2" s="22">
        <f>H2-K2</f>
        <v>3.1500000000000004</v>
      </c>
      <c r="N2" t="s">
        <v>31</v>
      </c>
      <c r="O2" t="s">
        <v>253</v>
      </c>
    </row>
    <row r="3" spans="1:15" x14ac:dyDescent="0.3">
      <c r="A3" t="s">
        <v>254</v>
      </c>
      <c r="B3" t="s">
        <v>67</v>
      </c>
      <c r="C3" t="s">
        <v>28</v>
      </c>
      <c r="D3" t="s">
        <v>29</v>
      </c>
      <c r="F3" t="s">
        <v>30</v>
      </c>
      <c r="G3">
        <v>5000</v>
      </c>
      <c r="H3">
        <f t="shared" ref="H3:H6" si="0">IF(G3&lt;=200000,0.5%*G3,1000)</f>
        <v>25</v>
      </c>
      <c r="I3" s="22">
        <f t="shared" ref="I3:I6" si="1">7.5%*H3</f>
        <v>1.875</v>
      </c>
      <c r="J3" s="22">
        <f t="shared" ref="J3:J6" si="2">G3-(H3+I3)</f>
        <v>4973.125</v>
      </c>
      <c r="K3" s="22">
        <f t="shared" ref="K3:K6" si="3">IF( G3&lt;=28550,0.35%*G3,100)</f>
        <v>17.499999999999996</v>
      </c>
      <c r="L3" s="22">
        <f t="shared" ref="L3:L6" si="4">H3-K3</f>
        <v>7.5000000000000036</v>
      </c>
      <c r="N3" t="s">
        <v>31</v>
      </c>
      <c r="O3" t="s">
        <v>255</v>
      </c>
    </row>
    <row r="4" spans="1:15" x14ac:dyDescent="0.3">
      <c r="A4" t="s">
        <v>256</v>
      </c>
      <c r="B4" t="s">
        <v>67</v>
      </c>
      <c r="C4" t="s">
        <v>28</v>
      </c>
      <c r="D4" t="s">
        <v>29</v>
      </c>
      <c r="F4" t="s">
        <v>30</v>
      </c>
      <c r="G4">
        <v>10000</v>
      </c>
      <c r="H4">
        <f t="shared" si="0"/>
        <v>50</v>
      </c>
      <c r="I4" s="22">
        <f t="shared" si="1"/>
        <v>3.75</v>
      </c>
      <c r="J4" s="22">
        <f t="shared" si="2"/>
        <v>9946.25</v>
      </c>
      <c r="K4" s="22">
        <f t="shared" si="3"/>
        <v>34.999999999999993</v>
      </c>
      <c r="L4" s="22">
        <f t="shared" si="4"/>
        <v>15.000000000000007</v>
      </c>
      <c r="N4" t="s">
        <v>31</v>
      </c>
      <c r="O4" t="s">
        <v>257</v>
      </c>
    </row>
    <row r="5" spans="1:15" x14ac:dyDescent="0.3">
      <c r="A5" t="s">
        <v>258</v>
      </c>
      <c r="B5" t="s">
        <v>67</v>
      </c>
      <c r="C5" t="s">
        <v>28</v>
      </c>
      <c r="D5" t="s">
        <v>29</v>
      </c>
      <c r="F5" t="s">
        <v>30</v>
      </c>
      <c r="G5">
        <v>10000</v>
      </c>
      <c r="H5">
        <f t="shared" si="0"/>
        <v>50</v>
      </c>
      <c r="I5" s="22">
        <f t="shared" si="1"/>
        <v>3.75</v>
      </c>
      <c r="J5" s="22">
        <f t="shared" si="2"/>
        <v>9946.25</v>
      </c>
      <c r="K5" s="22">
        <f t="shared" si="3"/>
        <v>34.999999999999993</v>
      </c>
      <c r="L5" s="22">
        <f t="shared" si="4"/>
        <v>15.000000000000007</v>
      </c>
      <c r="N5" t="s">
        <v>31</v>
      </c>
      <c r="O5" t="s">
        <v>259</v>
      </c>
    </row>
    <row r="6" spans="1:15" x14ac:dyDescent="0.3">
      <c r="A6" t="s">
        <v>260</v>
      </c>
      <c r="B6" t="s">
        <v>34</v>
      </c>
      <c r="C6" t="s">
        <v>28</v>
      </c>
      <c r="D6" t="s">
        <v>29</v>
      </c>
      <c r="F6" t="s">
        <v>30</v>
      </c>
      <c r="G6">
        <v>3600</v>
      </c>
      <c r="H6">
        <f t="shared" si="0"/>
        <v>18</v>
      </c>
      <c r="I6" s="22">
        <f t="shared" si="1"/>
        <v>1.3499999999999999</v>
      </c>
      <c r="J6" s="22">
        <f t="shared" si="2"/>
        <v>3580.65</v>
      </c>
      <c r="K6" s="22">
        <f t="shared" si="3"/>
        <v>12.599999999999998</v>
      </c>
      <c r="L6" s="22">
        <f t="shared" si="4"/>
        <v>5.4000000000000021</v>
      </c>
      <c r="N6" t="s">
        <v>31</v>
      </c>
      <c r="O6" t="s">
        <v>261</v>
      </c>
    </row>
    <row r="7" spans="1:15" x14ac:dyDescent="0.3">
      <c r="G7" s="21">
        <f t="shared" ref="G7:L7" si="5">SUM(G2:G6)</f>
        <v>30700</v>
      </c>
      <c r="H7" s="21">
        <f t="shared" si="5"/>
        <v>153.5</v>
      </c>
      <c r="I7" s="21">
        <f t="shared" si="5"/>
        <v>11.512499999999999</v>
      </c>
      <c r="J7" s="21">
        <f t="shared" si="5"/>
        <v>30534.987500000003</v>
      </c>
      <c r="K7" s="21">
        <f t="shared" si="5"/>
        <v>107.44999999999997</v>
      </c>
      <c r="L7" s="21">
        <f t="shared" si="5"/>
        <v>46.050000000000026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74303-1334-4A1B-8CF1-798D7E77C96C}">
  <dimension ref="A1:O7"/>
  <sheetViews>
    <sheetView workbookViewId="0">
      <selection activeCell="E16" sqref="E16"/>
    </sheetView>
  </sheetViews>
  <sheetFormatPr defaultRowHeight="14.4" x14ac:dyDescent="0.3"/>
  <cols>
    <col min="1" max="1" width="21.33203125" customWidth="1"/>
    <col min="9" max="9" width="13.77734375" bestFit="1" customWidth="1"/>
    <col min="10" max="10" width="15.21875" bestFit="1" customWidth="1"/>
    <col min="11" max="11" width="15.88671875" bestFit="1" customWidth="1"/>
    <col min="15" max="15" width="19.5546875" customWidth="1"/>
  </cols>
  <sheetData>
    <row r="1" spans="1:15" s="15" customFormat="1" x14ac:dyDescent="0.3">
      <c r="A1" s="15" t="s">
        <v>14</v>
      </c>
      <c r="B1" s="15" t="s">
        <v>15</v>
      </c>
      <c r="C1" s="15" t="s">
        <v>16</v>
      </c>
      <c r="D1" s="15" t="s">
        <v>17</v>
      </c>
      <c r="E1" s="15" t="s">
        <v>18</v>
      </c>
      <c r="F1" s="15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s="15" t="s">
        <v>23</v>
      </c>
      <c r="N1" s="15" t="s">
        <v>24</v>
      </c>
      <c r="O1" s="15" t="s">
        <v>25</v>
      </c>
    </row>
    <row r="2" spans="1:15" x14ac:dyDescent="0.3">
      <c r="A2" t="s">
        <v>263</v>
      </c>
      <c r="B2" t="s">
        <v>34</v>
      </c>
      <c r="C2" t="s">
        <v>28</v>
      </c>
      <c r="D2" t="s">
        <v>29</v>
      </c>
      <c r="F2" t="s">
        <v>30</v>
      </c>
      <c r="G2">
        <v>1000</v>
      </c>
      <c r="H2">
        <f>IF(G2&lt;=200000,0.5%*G2,1000)</f>
        <v>5</v>
      </c>
      <c r="I2" s="22">
        <f>7.5%*H2</f>
        <v>0.375</v>
      </c>
      <c r="J2" s="22">
        <f>G2-(H2+I2)</f>
        <v>994.625</v>
      </c>
      <c r="K2" s="22">
        <f>IF( G2&lt;=28550,0.35%*G2,100)</f>
        <v>3.4999999999999996</v>
      </c>
      <c r="L2" s="22">
        <f>H2-K2</f>
        <v>1.5000000000000004</v>
      </c>
      <c r="N2" t="s">
        <v>31</v>
      </c>
      <c r="O2" t="s">
        <v>264</v>
      </c>
    </row>
    <row r="5" spans="1:15" x14ac:dyDescent="0.3">
      <c r="A5" s="15" t="s">
        <v>270</v>
      </c>
    </row>
    <row r="6" spans="1:15" s="15" customFormat="1" x14ac:dyDescent="0.3">
      <c r="A6" s="15" t="s">
        <v>14</v>
      </c>
      <c r="B6" s="15" t="s">
        <v>15</v>
      </c>
      <c r="C6" s="15" t="s">
        <v>16</v>
      </c>
      <c r="D6" s="15" t="s">
        <v>17</v>
      </c>
      <c r="E6" s="15" t="s">
        <v>18</v>
      </c>
      <c r="F6" s="15" t="s">
        <v>19</v>
      </c>
      <c r="G6" s="15" t="s">
        <v>20</v>
      </c>
      <c r="H6" s="15" t="s">
        <v>21</v>
      </c>
      <c r="I6" s="15" t="s">
        <v>185</v>
      </c>
      <c r="J6" s="21" t="s">
        <v>52</v>
      </c>
      <c r="K6" s="15" t="s">
        <v>22</v>
      </c>
      <c r="L6" s="15" t="s">
        <v>53</v>
      </c>
      <c r="M6" s="15" t="s">
        <v>23</v>
      </c>
      <c r="N6" s="15" t="s">
        <v>24</v>
      </c>
      <c r="O6" s="15" t="s">
        <v>25</v>
      </c>
    </row>
    <row r="7" spans="1:15" x14ac:dyDescent="0.3">
      <c r="A7" t="s">
        <v>265</v>
      </c>
      <c r="B7" t="s">
        <v>266</v>
      </c>
      <c r="C7" t="s">
        <v>28</v>
      </c>
      <c r="D7" t="s">
        <v>267</v>
      </c>
      <c r="E7" t="s">
        <v>268</v>
      </c>
      <c r="F7" t="s">
        <v>30</v>
      </c>
      <c r="G7">
        <v>500</v>
      </c>
      <c r="H7">
        <v>8.0625</v>
      </c>
      <c r="I7">
        <v>0.5625</v>
      </c>
      <c r="J7">
        <v>491.9375</v>
      </c>
      <c r="K7">
        <f>H7-L7</f>
        <v>4.3125</v>
      </c>
      <c r="L7">
        <v>3.75</v>
      </c>
      <c r="M7">
        <v>0</v>
      </c>
      <c r="N7" t="s">
        <v>31</v>
      </c>
      <c r="O7" t="s">
        <v>269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37ECE-208C-4D07-8EC6-E0346B7D9131}">
  <dimension ref="A1:O8"/>
  <sheetViews>
    <sheetView workbookViewId="0">
      <selection activeCell="H1" sqref="H1:L2"/>
    </sheetView>
  </sheetViews>
  <sheetFormatPr defaultRowHeight="14.4" x14ac:dyDescent="0.3"/>
  <cols>
    <col min="1" max="1" width="16.109375" customWidth="1"/>
    <col min="2" max="2" width="23.6640625" bestFit="1" customWidth="1"/>
    <col min="3" max="3" width="14.88671875" bestFit="1" customWidth="1"/>
    <col min="4" max="4" width="20.33203125" customWidth="1"/>
    <col min="10" max="10" width="15.21875" bestFit="1" customWidth="1"/>
    <col min="11" max="11" width="15.88671875" bestFit="1" customWidth="1"/>
  </cols>
  <sheetData>
    <row r="1" spans="1:15" s="15" customFormat="1" x14ac:dyDescent="0.3">
      <c r="A1" s="15" t="s">
        <v>14</v>
      </c>
      <c r="B1" s="15" t="s">
        <v>15</v>
      </c>
      <c r="C1" s="15" t="s">
        <v>16</v>
      </c>
      <c r="D1" s="15" t="s">
        <v>17</v>
      </c>
      <c r="E1" s="15" t="s">
        <v>18</v>
      </c>
      <c r="F1" s="15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s="15" t="s">
        <v>23</v>
      </c>
      <c r="N1" s="15" t="s">
        <v>24</v>
      </c>
      <c r="O1" s="15" t="s">
        <v>25</v>
      </c>
    </row>
    <row r="2" spans="1:15" x14ac:dyDescent="0.3">
      <c r="A2" t="s">
        <v>274</v>
      </c>
      <c r="B2" t="s">
        <v>34</v>
      </c>
      <c r="C2" t="s">
        <v>28</v>
      </c>
      <c r="D2" t="s">
        <v>29</v>
      </c>
      <c r="F2" t="s">
        <v>30</v>
      </c>
      <c r="G2">
        <v>20400</v>
      </c>
      <c r="H2">
        <f>IF(G2&lt;=200000,0.5%*G2,1000)</f>
        <v>102</v>
      </c>
      <c r="I2" s="22">
        <f>7.5%*H2</f>
        <v>7.6499999999999995</v>
      </c>
      <c r="J2" s="22">
        <f>G2-(H2+I2)</f>
        <v>20290.349999999999</v>
      </c>
      <c r="K2" s="22">
        <f>IF( G2&lt;=28550,0.35%*G2,100)</f>
        <v>71.399999999999991</v>
      </c>
      <c r="L2" s="22">
        <f>H2-K2</f>
        <v>30.600000000000009</v>
      </c>
      <c r="N2" t="s">
        <v>31</v>
      </c>
      <c r="O2" t="s">
        <v>275</v>
      </c>
    </row>
    <row r="6" spans="1:15" x14ac:dyDescent="0.3">
      <c r="A6" s="15" t="s">
        <v>270</v>
      </c>
    </row>
    <row r="7" spans="1:15" s="15" customFormat="1" x14ac:dyDescent="0.3">
      <c r="A7" s="15" t="s">
        <v>14</v>
      </c>
      <c r="B7" s="15" t="s">
        <v>15</v>
      </c>
      <c r="C7" s="15" t="s">
        <v>16</v>
      </c>
      <c r="D7" s="15" t="s">
        <v>17</v>
      </c>
      <c r="E7" s="15" t="s">
        <v>18</v>
      </c>
      <c r="F7" s="15" t="s">
        <v>19</v>
      </c>
      <c r="G7" s="15" t="s">
        <v>20</v>
      </c>
      <c r="H7" s="15" t="s">
        <v>21</v>
      </c>
      <c r="I7" s="15" t="s">
        <v>185</v>
      </c>
      <c r="J7" s="21" t="s">
        <v>52</v>
      </c>
      <c r="K7" s="15" t="s">
        <v>22</v>
      </c>
      <c r="L7" s="15" t="s">
        <v>53</v>
      </c>
      <c r="M7" s="15" t="s">
        <v>23</v>
      </c>
      <c r="N7" s="15" t="s">
        <v>24</v>
      </c>
      <c r="O7" s="15" t="s">
        <v>25</v>
      </c>
    </row>
    <row r="8" spans="1:15" x14ac:dyDescent="0.3">
      <c r="A8" t="s">
        <v>271</v>
      </c>
      <c r="B8" t="s">
        <v>266</v>
      </c>
      <c r="C8" t="s">
        <v>28</v>
      </c>
      <c r="D8" t="s">
        <v>267</v>
      </c>
      <c r="E8" t="s">
        <v>272</v>
      </c>
      <c r="F8" t="s">
        <v>30</v>
      </c>
      <c r="G8">
        <v>500</v>
      </c>
      <c r="H8">
        <v>8.0625</v>
      </c>
      <c r="I8">
        <v>0.5625</v>
      </c>
      <c r="J8">
        <v>491.9375</v>
      </c>
      <c r="K8">
        <f>H8-L8</f>
        <v>4.3125</v>
      </c>
      <c r="L8">
        <v>3.75</v>
      </c>
      <c r="M8">
        <v>0</v>
      </c>
      <c r="N8" t="s">
        <v>31</v>
      </c>
      <c r="O8" t="s">
        <v>273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B97C6-D815-4936-A4D5-D63C7CF6A7A2}">
  <dimension ref="A1:O3"/>
  <sheetViews>
    <sheetView workbookViewId="0">
      <selection activeCell="D14" sqref="D14"/>
    </sheetView>
  </sheetViews>
  <sheetFormatPr defaultRowHeight="14.4" x14ac:dyDescent="0.3"/>
  <cols>
    <col min="10" max="10" width="15.21875" bestFit="1" customWidth="1"/>
    <col min="11" max="11" width="13" bestFit="1" customWidth="1"/>
    <col min="12" max="12" width="9" bestFit="1" customWidth="1"/>
  </cols>
  <sheetData>
    <row r="1" spans="1:15" x14ac:dyDescent="0.3">
      <c r="A1" s="15" t="s">
        <v>270</v>
      </c>
    </row>
    <row r="2" spans="1:15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5" t="s">
        <v>20</v>
      </c>
      <c r="H2" s="15" t="s">
        <v>21</v>
      </c>
      <c r="I2" s="15" t="s">
        <v>185</v>
      </c>
      <c r="J2" s="21" t="s">
        <v>52</v>
      </c>
      <c r="K2" s="15" t="s">
        <v>22</v>
      </c>
      <c r="L2" s="15" t="s">
        <v>53</v>
      </c>
      <c r="M2" t="s">
        <v>23</v>
      </c>
      <c r="N2" t="s">
        <v>24</v>
      </c>
      <c r="O2" t="s">
        <v>25</v>
      </c>
    </row>
    <row r="3" spans="1:15" x14ac:dyDescent="0.3">
      <c r="A3" t="s">
        <v>276</v>
      </c>
      <c r="B3" t="s">
        <v>162</v>
      </c>
      <c r="C3" t="s">
        <v>28</v>
      </c>
      <c r="D3" t="s">
        <v>277</v>
      </c>
      <c r="E3" t="s">
        <v>278</v>
      </c>
      <c r="F3" t="s">
        <v>30</v>
      </c>
      <c r="G3">
        <v>500</v>
      </c>
      <c r="H3">
        <v>8.0625</v>
      </c>
      <c r="I3">
        <v>0.5625</v>
      </c>
      <c r="J3">
        <v>491.9375</v>
      </c>
      <c r="K3">
        <f>H3-L3</f>
        <v>4.3125</v>
      </c>
      <c r="L3">
        <v>3.75</v>
      </c>
      <c r="M3">
        <v>0</v>
      </c>
      <c r="N3" t="s">
        <v>31</v>
      </c>
      <c r="O3" t="s">
        <v>279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30AFA-F321-46BD-A128-FBDF9D512747}">
  <dimension ref="A1:O4"/>
  <sheetViews>
    <sheetView workbookViewId="0">
      <selection activeCell="H1" sqref="H1:L2"/>
    </sheetView>
  </sheetViews>
  <sheetFormatPr defaultRowHeight="14.4" x14ac:dyDescent="0.3"/>
  <cols>
    <col min="1" max="1" width="21.88671875" bestFit="1" customWidth="1"/>
    <col min="7" max="7" width="10.21875" bestFit="1" customWidth="1"/>
    <col min="8" max="9" width="8.77734375" bestFit="1" customWidth="1"/>
    <col min="10" max="10" width="15.21875" bestFit="1" customWidth="1"/>
    <col min="11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280</v>
      </c>
      <c r="B2" t="s">
        <v>34</v>
      </c>
      <c r="C2" t="s">
        <v>28</v>
      </c>
      <c r="D2" t="s">
        <v>29</v>
      </c>
      <c r="F2" t="s">
        <v>30</v>
      </c>
      <c r="G2">
        <v>10000</v>
      </c>
      <c r="H2">
        <f>IF(G2&lt;=200000,0.5%*G2,1000)</f>
        <v>50</v>
      </c>
      <c r="I2" s="22">
        <f>7.5%*H2</f>
        <v>3.75</v>
      </c>
      <c r="J2" s="22">
        <f>G2-(H2+I2)</f>
        <v>9946.25</v>
      </c>
      <c r="K2" s="22">
        <f>IF( G2&lt;=28550,0.35%*G2,100)</f>
        <v>34.999999999999993</v>
      </c>
      <c r="L2" s="22">
        <f>H2-K2</f>
        <v>15.000000000000007</v>
      </c>
      <c r="N2" t="s">
        <v>31</v>
      </c>
      <c r="O2" t="s">
        <v>281</v>
      </c>
    </row>
    <row r="3" spans="1:15" x14ac:dyDescent="0.3">
      <c r="A3" t="s">
        <v>282</v>
      </c>
      <c r="B3" t="s">
        <v>34</v>
      </c>
      <c r="C3" t="s">
        <v>28</v>
      </c>
      <c r="D3" t="s">
        <v>29</v>
      </c>
      <c r="F3" t="s">
        <v>30</v>
      </c>
      <c r="G3">
        <v>5100</v>
      </c>
      <c r="H3">
        <f>IF(G3&lt;=200000,0.5%*G3,1000)</f>
        <v>25.5</v>
      </c>
      <c r="I3" s="22">
        <f>7.5%*H3</f>
        <v>1.9124999999999999</v>
      </c>
      <c r="J3" s="22">
        <f>G3-(H3+I3)</f>
        <v>5072.5874999999996</v>
      </c>
      <c r="K3" s="22">
        <f>IF( G3&lt;=28550,0.35%*G3,100)</f>
        <v>17.849999999999998</v>
      </c>
      <c r="L3" s="22">
        <f>H3-K3</f>
        <v>7.6500000000000021</v>
      </c>
      <c r="N3" t="s">
        <v>31</v>
      </c>
      <c r="O3" t="s">
        <v>283</v>
      </c>
    </row>
    <row r="4" spans="1:15" x14ac:dyDescent="0.3">
      <c r="G4" s="21">
        <f t="shared" ref="G4:L4" si="0">SUM(G2:G3)</f>
        <v>15100</v>
      </c>
      <c r="H4" s="21">
        <f t="shared" si="0"/>
        <v>75.5</v>
      </c>
      <c r="I4" s="21">
        <f t="shared" si="0"/>
        <v>5.6624999999999996</v>
      </c>
      <c r="J4" s="21">
        <f t="shared" si="0"/>
        <v>15018.8375</v>
      </c>
      <c r="K4" s="21">
        <f t="shared" si="0"/>
        <v>52.849999999999994</v>
      </c>
      <c r="L4" s="21">
        <f t="shared" si="0"/>
        <v>22.650000000000009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5D8C8-160F-427E-82C2-39B39451035B}">
  <dimension ref="A1:O5"/>
  <sheetViews>
    <sheetView workbookViewId="0">
      <selection activeCell="H1" sqref="H1:L2"/>
    </sheetView>
  </sheetViews>
  <sheetFormatPr defaultRowHeight="14.4" x14ac:dyDescent="0.3"/>
  <cols>
    <col min="7" max="7" width="10.21875" bestFit="1" customWidth="1"/>
    <col min="8" max="9" width="8.77734375" bestFit="1" customWidth="1"/>
    <col min="10" max="10" width="17" customWidth="1"/>
    <col min="11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284</v>
      </c>
      <c r="B2" t="s">
        <v>34</v>
      </c>
      <c r="C2" t="s">
        <v>28</v>
      </c>
      <c r="D2" t="s">
        <v>29</v>
      </c>
      <c r="F2" t="s">
        <v>30</v>
      </c>
      <c r="G2">
        <v>5200</v>
      </c>
      <c r="H2">
        <f>IF(G2&lt;=200000,0.5%*G2,1000)</f>
        <v>26</v>
      </c>
      <c r="I2" s="22">
        <f>7.5%*H2</f>
        <v>1.95</v>
      </c>
      <c r="J2" s="22">
        <f>G2-(H2+I2)</f>
        <v>5172.05</v>
      </c>
      <c r="K2" s="22">
        <f>IF( G2&lt;=28550,0.35%*G2,100)</f>
        <v>18.2</v>
      </c>
      <c r="L2" s="22">
        <f>H2-K2</f>
        <v>7.8000000000000007</v>
      </c>
      <c r="N2" t="s">
        <v>31</v>
      </c>
      <c r="O2" t="s">
        <v>285</v>
      </c>
    </row>
    <row r="3" spans="1:15" x14ac:dyDescent="0.3">
      <c r="A3" t="s">
        <v>286</v>
      </c>
      <c r="B3" t="s">
        <v>34</v>
      </c>
      <c r="C3" t="s">
        <v>28</v>
      </c>
      <c r="D3" t="s">
        <v>29</v>
      </c>
      <c r="F3" t="s">
        <v>30</v>
      </c>
      <c r="G3">
        <v>4100</v>
      </c>
      <c r="H3">
        <f t="shared" ref="H3:H4" si="0">IF(G3&lt;=200000,0.5%*G3,1000)</f>
        <v>20.5</v>
      </c>
      <c r="I3" s="22">
        <f t="shared" ref="I3:I4" si="1">7.5%*H3</f>
        <v>1.5374999999999999</v>
      </c>
      <c r="J3" s="22">
        <f t="shared" ref="J3:J4" si="2">G3-(H3+I3)</f>
        <v>4077.9625000000001</v>
      </c>
      <c r="K3" s="22">
        <f t="shared" ref="K3:K4" si="3">IF( G3&lt;=28550,0.35%*G3,100)</f>
        <v>14.349999999999998</v>
      </c>
      <c r="L3" s="22">
        <f t="shared" ref="L3:L4" si="4">H3-K3</f>
        <v>6.1500000000000021</v>
      </c>
      <c r="N3" t="s">
        <v>31</v>
      </c>
      <c r="O3" t="s">
        <v>287</v>
      </c>
    </row>
    <row r="4" spans="1:15" x14ac:dyDescent="0.3">
      <c r="A4" t="s">
        <v>288</v>
      </c>
      <c r="B4" t="s">
        <v>34</v>
      </c>
      <c r="C4" t="s">
        <v>28</v>
      </c>
      <c r="D4" t="s">
        <v>29</v>
      </c>
      <c r="F4" t="s">
        <v>30</v>
      </c>
      <c r="G4">
        <v>2000</v>
      </c>
      <c r="H4">
        <f t="shared" si="0"/>
        <v>10</v>
      </c>
      <c r="I4" s="22">
        <f t="shared" si="1"/>
        <v>0.75</v>
      </c>
      <c r="J4" s="22">
        <f t="shared" si="2"/>
        <v>1989.25</v>
      </c>
      <c r="K4" s="22">
        <f t="shared" si="3"/>
        <v>6.9999999999999991</v>
      </c>
      <c r="L4" s="22">
        <f t="shared" si="4"/>
        <v>3.0000000000000009</v>
      </c>
      <c r="N4" t="s">
        <v>31</v>
      </c>
      <c r="O4" t="s">
        <v>289</v>
      </c>
    </row>
    <row r="5" spans="1:15" x14ac:dyDescent="0.3">
      <c r="G5" s="21">
        <f t="shared" ref="G5:L5" si="5">SUM(G2:G4)</f>
        <v>11300</v>
      </c>
      <c r="H5" s="21">
        <f t="shared" si="5"/>
        <v>56.5</v>
      </c>
      <c r="I5" s="21">
        <f t="shared" si="5"/>
        <v>4.2374999999999998</v>
      </c>
      <c r="J5" s="21">
        <f t="shared" si="5"/>
        <v>11239.262500000001</v>
      </c>
      <c r="K5" s="21">
        <f t="shared" si="5"/>
        <v>39.549999999999997</v>
      </c>
      <c r="L5" s="21">
        <f t="shared" si="5"/>
        <v>16.950000000000003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896DA-2DEB-45B2-9DB1-7F03C4CF9808}">
  <dimension ref="A1:O5"/>
  <sheetViews>
    <sheetView workbookViewId="0">
      <selection activeCell="H19" sqref="H19"/>
    </sheetView>
  </sheetViews>
  <sheetFormatPr defaultRowHeight="14.4" x14ac:dyDescent="0.3"/>
  <cols>
    <col min="7" max="7" width="10.21875" bestFit="1" customWidth="1"/>
    <col min="8" max="9" width="8.77734375" bestFit="1" customWidth="1"/>
    <col min="10" max="10" width="15.21875" bestFit="1" customWidth="1"/>
    <col min="11" max="12" width="8.77734375" bestFit="1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290</v>
      </c>
      <c r="B2" t="s">
        <v>34</v>
      </c>
      <c r="C2" t="s">
        <v>28</v>
      </c>
      <c r="D2" t="s">
        <v>29</v>
      </c>
      <c r="F2" t="s">
        <v>30</v>
      </c>
      <c r="G2">
        <v>10000</v>
      </c>
      <c r="H2">
        <f>IF(G2&lt;=200000,0.5%*G2,1000)</f>
        <v>50</v>
      </c>
      <c r="I2" s="22">
        <f>7.5%*H2</f>
        <v>3.75</v>
      </c>
      <c r="J2" s="22">
        <f>G2-(H2+I2)</f>
        <v>9946.25</v>
      </c>
      <c r="K2" s="22">
        <f>IF( G2&lt;=28550,0.35%*G2,100)</f>
        <v>34.999999999999993</v>
      </c>
      <c r="L2" s="22">
        <f>H2-K2</f>
        <v>15.000000000000007</v>
      </c>
      <c r="N2" t="s">
        <v>31</v>
      </c>
      <c r="O2" t="s">
        <v>291</v>
      </c>
    </row>
    <row r="3" spans="1:15" x14ac:dyDescent="0.3">
      <c r="A3" t="s">
        <v>292</v>
      </c>
      <c r="B3" t="s">
        <v>34</v>
      </c>
      <c r="C3" t="s">
        <v>28</v>
      </c>
      <c r="D3" t="s">
        <v>29</v>
      </c>
      <c r="F3" t="s">
        <v>30</v>
      </c>
      <c r="G3">
        <v>1000</v>
      </c>
      <c r="H3">
        <f t="shared" ref="H3:H4" si="0">IF(G3&lt;=200000,0.5%*G3,1000)</f>
        <v>5</v>
      </c>
      <c r="I3" s="22">
        <f t="shared" ref="I3:I4" si="1">7.5%*H3</f>
        <v>0.375</v>
      </c>
      <c r="J3" s="22">
        <f t="shared" ref="J3:J4" si="2">G3-(H3+I3)</f>
        <v>994.625</v>
      </c>
      <c r="K3" s="22">
        <f t="shared" ref="K3:K4" si="3">IF( G3&lt;=28550,0.35%*G3,100)</f>
        <v>3.4999999999999996</v>
      </c>
      <c r="L3" s="22">
        <f t="shared" ref="L3:L4" si="4">H3-K3</f>
        <v>1.5000000000000004</v>
      </c>
      <c r="N3" t="s">
        <v>31</v>
      </c>
      <c r="O3" t="s">
        <v>293</v>
      </c>
    </row>
    <row r="4" spans="1:15" x14ac:dyDescent="0.3">
      <c r="A4" t="s">
        <v>294</v>
      </c>
      <c r="B4" t="s">
        <v>34</v>
      </c>
      <c r="C4" t="s">
        <v>28</v>
      </c>
      <c r="D4" t="s">
        <v>29</v>
      </c>
      <c r="F4" t="s">
        <v>30</v>
      </c>
      <c r="G4">
        <v>3000</v>
      </c>
      <c r="H4">
        <f t="shared" si="0"/>
        <v>15</v>
      </c>
      <c r="I4" s="22">
        <f t="shared" si="1"/>
        <v>1.125</v>
      </c>
      <c r="J4" s="22">
        <f t="shared" si="2"/>
        <v>2983.875</v>
      </c>
      <c r="K4" s="22">
        <f t="shared" si="3"/>
        <v>10.499999999999998</v>
      </c>
      <c r="L4" s="22">
        <f t="shared" si="4"/>
        <v>4.5000000000000018</v>
      </c>
      <c r="N4" t="s">
        <v>31</v>
      </c>
      <c r="O4" t="s">
        <v>295</v>
      </c>
    </row>
    <row r="5" spans="1:15" x14ac:dyDescent="0.3">
      <c r="G5" s="21">
        <f t="shared" ref="G5:L5" si="5">SUM(G2:G4)</f>
        <v>14000</v>
      </c>
      <c r="H5" s="21">
        <f t="shared" si="5"/>
        <v>70</v>
      </c>
      <c r="I5" s="21">
        <f t="shared" si="5"/>
        <v>5.25</v>
      </c>
      <c r="J5" s="21">
        <f t="shared" si="5"/>
        <v>13924.75</v>
      </c>
      <c r="K5" s="21">
        <f t="shared" si="5"/>
        <v>48.999999999999993</v>
      </c>
      <c r="L5" s="21">
        <f t="shared" si="5"/>
        <v>21.000000000000007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CE0C3-69D2-4478-B5AE-334B919AD9CC}">
  <dimension ref="A1:O11"/>
  <sheetViews>
    <sheetView workbookViewId="0">
      <selection activeCell="C16" sqref="C16"/>
    </sheetView>
  </sheetViews>
  <sheetFormatPr defaultRowHeight="14.4" x14ac:dyDescent="0.3"/>
  <cols>
    <col min="1" max="1" width="18.77734375" customWidth="1"/>
    <col min="7" max="7" width="13.5546875" customWidth="1"/>
    <col min="9" max="9" width="15.109375" customWidth="1"/>
    <col min="10" max="10" width="11.77734375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311</v>
      </c>
      <c r="B2" t="s">
        <v>34</v>
      </c>
      <c r="C2" t="s">
        <v>28</v>
      </c>
      <c r="D2" t="s">
        <v>29</v>
      </c>
      <c r="F2" t="s">
        <v>30</v>
      </c>
      <c r="G2" s="22">
        <v>5100</v>
      </c>
      <c r="H2">
        <f>IF(G2&lt;=200000,0.5%*G2,1000)</f>
        <v>25.5</v>
      </c>
      <c r="I2" s="22">
        <f>7.5%*H2</f>
        <v>1.9124999999999999</v>
      </c>
      <c r="J2" s="22">
        <f>G2-(H2+I2)</f>
        <v>5072.5874999999996</v>
      </c>
      <c r="K2" s="22">
        <f>IF( G2&lt;=28550,0.35%*G2,100)</f>
        <v>17.849999999999998</v>
      </c>
      <c r="L2" s="22">
        <f>H2-K2</f>
        <v>7.6500000000000021</v>
      </c>
      <c r="N2" t="s">
        <v>31</v>
      </c>
      <c r="O2" t="s">
        <v>312</v>
      </c>
    </row>
    <row r="3" spans="1:15" x14ac:dyDescent="0.3">
      <c r="A3" t="s">
        <v>313</v>
      </c>
      <c r="B3" t="s">
        <v>67</v>
      </c>
      <c r="C3" t="s">
        <v>28</v>
      </c>
      <c r="D3" t="s">
        <v>29</v>
      </c>
      <c r="F3" t="s">
        <v>30</v>
      </c>
      <c r="G3" s="22">
        <v>10000</v>
      </c>
      <c r="H3">
        <f t="shared" ref="H3:H8" si="0">IF(G3&lt;=200000,0.5%*G3,1000)</f>
        <v>50</v>
      </c>
      <c r="I3" s="22">
        <f t="shared" ref="I3:I8" si="1">7.5%*H3</f>
        <v>3.75</v>
      </c>
      <c r="J3" s="22">
        <f t="shared" ref="J3:J8" si="2">G3-(H3+I3)</f>
        <v>9946.25</v>
      </c>
      <c r="K3" s="22">
        <f t="shared" ref="K3:K8" si="3">IF( G3&lt;=28550,0.35%*G3,100)</f>
        <v>34.999999999999993</v>
      </c>
      <c r="L3" s="22">
        <f t="shared" ref="L3:L8" si="4">H3-K3</f>
        <v>15.000000000000007</v>
      </c>
      <c r="N3" t="s">
        <v>31</v>
      </c>
      <c r="O3" t="s">
        <v>314</v>
      </c>
    </row>
    <row r="4" spans="1:15" x14ac:dyDescent="0.3">
      <c r="A4" t="s">
        <v>315</v>
      </c>
      <c r="B4" t="s">
        <v>67</v>
      </c>
      <c r="C4" t="s">
        <v>28</v>
      </c>
      <c r="D4" t="s">
        <v>29</v>
      </c>
      <c r="F4" t="s">
        <v>30</v>
      </c>
      <c r="G4" s="22">
        <v>4600</v>
      </c>
      <c r="H4">
        <f t="shared" si="0"/>
        <v>23</v>
      </c>
      <c r="I4" s="22">
        <f t="shared" si="1"/>
        <v>1.7249999999999999</v>
      </c>
      <c r="J4" s="22">
        <f t="shared" si="2"/>
        <v>4575.2749999999996</v>
      </c>
      <c r="K4" s="22">
        <f t="shared" si="3"/>
        <v>16.099999999999998</v>
      </c>
      <c r="L4" s="22">
        <f t="shared" si="4"/>
        <v>6.9000000000000021</v>
      </c>
      <c r="N4" t="s">
        <v>31</v>
      </c>
      <c r="O4" t="s">
        <v>316</v>
      </c>
    </row>
    <row r="5" spans="1:15" x14ac:dyDescent="0.3">
      <c r="A5" t="s">
        <v>317</v>
      </c>
      <c r="B5" t="s">
        <v>34</v>
      </c>
      <c r="C5" t="s">
        <v>28</v>
      </c>
      <c r="D5" t="s">
        <v>29</v>
      </c>
      <c r="F5" t="s">
        <v>30</v>
      </c>
      <c r="G5" s="22">
        <v>5100</v>
      </c>
      <c r="H5">
        <f t="shared" si="0"/>
        <v>25.5</v>
      </c>
      <c r="I5" s="22">
        <f t="shared" si="1"/>
        <v>1.9124999999999999</v>
      </c>
      <c r="J5" s="22">
        <f t="shared" si="2"/>
        <v>5072.5874999999996</v>
      </c>
      <c r="K5" s="22">
        <f t="shared" si="3"/>
        <v>17.849999999999998</v>
      </c>
      <c r="L5" s="22">
        <f t="shared" si="4"/>
        <v>7.6500000000000021</v>
      </c>
      <c r="N5" t="s">
        <v>31</v>
      </c>
      <c r="O5" t="s">
        <v>318</v>
      </c>
    </row>
    <row r="6" spans="1:15" x14ac:dyDescent="0.3">
      <c r="A6" t="e">
        <v>#NAME?</v>
      </c>
      <c r="B6" t="s">
        <v>34</v>
      </c>
      <c r="C6" t="s">
        <v>28</v>
      </c>
      <c r="D6" t="s">
        <v>29</v>
      </c>
      <c r="F6" t="s">
        <v>30</v>
      </c>
      <c r="G6" s="22">
        <v>5000</v>
      </c>
      <c r="H6">
        <f t="shared" si="0"/>
        <v>25</v>
      </c>
      <c r="I6" s="22">
        <f t="shared" si="1"/>
        <v>1.875</v>
      </c>
      <c r="J6" s="22">
        <f t="shared" si="2"/>
        <v>4973.125</v>
      </c>
      <c r="K6" s="22">
        <f t="shared" si="3"/>
        <v>17.499999999999996</v>
      </c>
      <c r="L6" s="22">
        <f t="shared" si="4"/>
        <v>7.5000000000000036</v>
      </c>
      <c r="N6" t="s">
        <v>31</v>
      </c>
      <c r="O6" t="s">
        <v>319</v>
      </c>
    </row>
    <row r="7" spans="1:15" x14ac:dyDescent="0.3">
      <c r="A7" t="s">
        <v>320</v>
      </c>
      <c r="B7" t="s">
        <v>34</v>
      </c>
      <c r="C7" t="s">
        <v>28</v>
      </c>
      <c r="D7" t="s">
        <v>29</v>
      </c>
      <c r="F7" t="s">
        <v>30</v>
      </c>
      <c r="G7" s="22">
        <v>5100</v>
      </c>
      <c r="H7">
        <f t="shared" si="0"/>
        <v>25.5</v>
      </c>
      <c r="I7" s="22">
        <f t="shared" si="1"/>
        <v>1.9124999999999999</v>
      </c>
      <c r="J7" s="22">
        <f t="shared" si="2"/>
        <v>5072.5874999999996</v>
      </c>
      <c r="K7" s="22">
        <f t="shared" si="3"/>
        <v>17.849999999999998</v>
      </c>
      <c r="L7" s="22">
        <f t="shared" si="4"/>
        <v>7.6500000000000021</v>
      </c>
      <c r="N7" t="s">
        <v>31</v>
      </c>
      <c r="O7" t="s">
        <v>321</v>
      </c>
    </row>
    <row r="8" spans="1:15" x14ac:dyDescent="0.3">
      <c r="A8" t="s">
        <v>322</v>
      </c>
      <c r="B8" t="s">
        <v>34</v>
      </c>
      <c r="C8" t="s">
        <v>28</v>
      </c>
      <c r="D8" t="s">
        <v>29</v>
      </c>
      <c r="F8" t="s">
        <v>30</v>
      </c>
      <c r="G8" s="22">
        <v>4000</v>
      </c>
      <c r="H8">
        <f t="shared" si="0"/>
        <v>20</v>
      </c>
      <c r="I8" s="22">
        <f t="shared" si="1"/>
        <v>1.5</v>
      </c>
      <c r="J8" s="22">
        <f t="shared" si="2"/>
        <v>3978.5</v>
      </c>
      <c r="K8" s="22">
        <f t="shared" si="3"/>
        <v>13.999999999999998</v>
      </c>
      <c r="L8" s="22">
        <f t="shared" si="4"/>
        <v>6.0000000000000018</v>
      </c>
      <c r="N8" t="s">
        <v>31</v>
      </c>
      <c r="O8" t="s">
        <v>323</v>
      </c>
    </row>
    <row r="9" spans="1:15" x14ac:dyDescent="0.3">
      <c r="G9" s="26">
        <f t="shared" ref="G9:L9" si="5">SUM(G2:G8)</f>
        <v>38900</v>
      </c>
      <c r="H9" s="15">
        <f t="shared" si="5"/>
        <v>194.5</v>
      </c>
      <c r="I9" s="21">
        <f t="shared" si="5"/>
        <v>14.587499999999999</v>
      </c>
      <c r="J9" s="26">
        <f t="shared" si="5"/>
        <v>38690.912499999999</v>
      </c>
      <c r="K9" s="26">
        <f t="shared" si="5"/>
        <v>136.14999999999998</v>
      </c>
      <c r="L9" s="21">
        <f t="shared" si="5"/>
        <v>58.350000000000023</v>
      </c>
    </row>
    <row r="11" spans="1:15" x14ac:dyDescent="0.3">
      <c r="A11" s="15" t="s">
        <v>306</v>
      </c>
      <c r="B11" s="15" t="s">
        <v>305</v>
      </c>
      <c r="C11" s="15"/>
      <c r="D11" s="15"/>
      <c r="E11" s="15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512F4-B0C0-492A-ACD6-19C4EC23BC04}">
  <dimension ref="A1:O6"/>
  <sheetViews>
    <sheetView workbookViewId="0">
      <selection activeCell="A6" sqref="A6:E6"/>
    </sheetView>
  </sheetViews>
  <sheetFormatPr defaultRowHeight="14.4" x14ac:dyDescent="0.3"/>
  <cols>
    <col min="7" max="7" width="13.21875" customWidth="1"/>
    <col min="9" max="9" width="14.21875" customWidth="1"/>
    <col min="10" max="10" width="11.44140625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307</v>
      </c>
      <c r="B2" t="s">
        <v>34</v>
      </c>
      <c r="C2" t="s">
        <v>28</v>
      </c>
      <c r="D2" t="s">
        <v>29</v>
      </c>
      <c r="F2" t="s">
        <v>30</v>
      </c>
      <c r="G2" s="22">
        <v>10200</v>
      </c>
      <c r="H2">
        <f>IF(G2&lt;=200000,0.5%*G2,1000)</f>
        <v>51</v>
      </c>
      <c r="I2" s="22">
        <f>7.5%*H2</f>
        <v>3.8249999999999997</v>
      </c>
      <c r="J2" s="22">
        <f>G2-(H2+I2)</f>
        <v>10145.174999999999</v>
      </c>
      <c r="K2" s="22">
        <f>IF( G2&lt;=28550,0.35%*G2,100)</f>
        <v>35.699999999999996</v>
      </c>
      <c r="L2" s="22">
        <f>H2-K2</f>
        <v>15.300000000000004</v>
      </c>
      <c r="N2" t="s">
        <v>31</v>
      </c>
      <c r="O2" t="s">
        <v>308</v>
      </c>
    </row>
    <row r="3" spans="1:15" x14ac:dyDescent="0.3">
      <c r="A3" t="s">
        <v>309</v>
      </c>
      <c r="B3" t="s">
        <v>34</v>
      </c>
      <c r="C3" t="s">
        <v>28</v>
      </c>
      <c r="D3" t="s">
        <v>29</v>
      </c>
      <c r="F3" t="s">
        <v>30</v>
      </c>
      <c r="G3" s="22">
        <v>5100</v>
      </c>
      <c r="H3">
        <f>IF(G3&lt;=200000,0.5%*G3,1000)</f>
        <v>25.5</v>
      </c>
      <c r="I3" s="22">
        <f>7.5%*H3</f>
        <v>1.9124999999999999</v>
      </c>
      <c r="J3" s="22">
        <f>G3-(H3+I3)</f>
        <v>5072.5874999999996</v>
      </c>
      <c r="K3" s="22">
        <f>IF( G3&lt;=28550,0.35%*G3,100)</f>
        <v>17.849999999999998</v>
      </c>
      <c r="L3" s="22">
        <f>H3-K3</f>
        <v>7.6500000000000021</v>
      </c>
      <c r="N3" t="s">
        <v>31</v>
      </c>
      <c r="O3" t="s">
        <v>310</v>
      </c>
    </row>
    <row r="4" spans="1:15" x14ac:dyDescent="0.3">
      <c r="G4" s="26">
        <f t="shared" ref="G4:L4" si="0">SUM(G2:G3)</f>
        <v>15300</v>
      </c>
      <c r="H4" s="15">
        <f t="shared" si="0"/>
        <v>76.5</v>
      </c>
      <c r="I4" s="26">
        <f t="shared" si="0"/>
        <v>5.7374999999999998</v>
      </c>
      <c r="J4" s="26">
        <f t="shared" si="0"/>
        <v>15217.762499999999</v>
      </c>
      <c r="K4" s="26">
        <f t="shared" si="0"/>
        <v>53.55</v>
      </c>
      <c r="L4" s="26">
        <f t="shared" si="0"/>
        <v>22.950000000000006</v>
      </c>
    </row>
    <row r="6" spans="1:15" x14ac:dyDescent="0.3">
      <c r="A6" s="15" t="s">
        <v>306</v>
      </c>
      <c r="B6" s="15" t="s">
        <v>305</v>
      </c>
      <c r="C6" s="15"/>
      <c r="D6" s="15"/>
      <c r="E6" s="15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9ED4-A424-4A18-A7FF-D1A068310DE0}">
  <dimension ref="A1:I3"/>
  <sheetViews>
    <sheetView workbookViewId="0">
      <selection activeCell="D5" sqref="D5"/>
    </sheetView>
  </sheetViews>
  <sheetFormatPr defaultRowHeight="14.4" x14ac:dyDescent="0.3"/>
  <cols>
    <col min="7" max="7" width="11.44140625" customWidth="1"/>
    <col min="9" max="9" width="11.6640625" customWidth="1"/>
  </cols>
  <sheetData>
    <row r="1" spans="1:9" x14ac:dyDescent="0.3">
      <c r="A1" s="15" t="s">
        <v>296</v>
      </c>
    </row>
    <row r="2" spans="1:9" x14ac:dyDescent="0.3">
      <c r="G2" s="22"/>
      <c r="H2" s="22"/>
      <c r="I2" s="22"/>
    </row>
    <row r="3" spans="1:9" x14ac:dyDescent="0.3">
      <c r="G3" s="22"/>
      <c r="H3" s="22"/>
      <c r="I3" s="22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A2A8B-162D-49BA-A743-7303AAB28047}">
  <dimension ref="A1:O10"/>
  <sheetViews>
    <sheetView workbookViewId="0">
      <selection activeCell="G13" sqref="G13"/>
    </sheetView>
  </sheetViews>
  <sheetFormatPr defaultRowHeight="14.4" x14ac:dyDescent="0.3"/>
  <cols>
    <col min="7" max="7" width="10.77734375" customWidth="1"/>
    <col min="9" max="9" width="12.21875" customWidth="1"/>
    <col min="10" max="10" width="13.5546875" customWidth="1"/>
  </cols>
  <sheetData>
    <row r="1" spans="1:1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s="15" t="s">
        <v>20</v>
      </c>
      <c r="H1" s="15" t="s">
        <v>21</v>
      </c>
      <c r="I1" s="15" t="s">
        <v>51</v>
      </c>
      <c r="J1" s="21" t="s">
        <v>52</v>
      </c>
      <c r="K1" s="15" t="s">
        <v>22</v>
      </c>
      <c r="L1" s="15" t="s">
        <v>53</v>
      </c>
      <c r="M1" t="s">
        <v>23</v>
      </c>
      <c r="N1" t="s">
        <v>24</v>
      </c>
      <c r="O1" t="s">
        <v>25</v>
      </c>
    </row>
    <row r="2" spans="1:15" x14ac:dyDescent="0.3">
      <c r="A2" t="s">
        <v>297</v>
      </c>
      <c r="B2" t="s">
        <v>67</v>
      </c>
      <c r="C2" t="s">
        <v>28</v>
      </c>
      <c r="D2" t="s">
        <v>29</v>
      </c>
      <c r="F2" t="s">
        <v>30</v>
      </c>
      <c r="G2" s="22">
        <v>5100</v>
      </c>
      <c r="H2">
        <f>IF(G2&lt;=200000,0.5%*G2,1000)</f>
        <v>25.5</v>
      </c>
      <c r="I2" s="22">
        <f>7.5%*H2</f>
        <v>1.9124999999999999</v>
      </c>
      <c r="J2" s="22">
        <f>G2-(H2+I2)</f>
        <v>5072.5874999999996</v>
      </c>
      <c r="K2" s="22">
        <f>IF( G2&lt;=28550,0.35%*G2,100)</f>
        <v>17.849999999999998</v>
      </c>
      <c r="L2" s="22">
        <f>H2-K2</f>
        <v>7.6500000000000021</v>
      </c>
      <c r="N2" t="s">
        <v>31</v>
      </c>
      <c r="O2" t="s">
        <v>298</v>
      </c>
    </row>
    <row r="3" spans="1:15" x14ac:dyDescent="0.3">
      <c r="A3" t="s">
        <v>299</v>
      </c>
      <c r="B3" t="s">
        <v>67</v>
      </c>
      <c r="C3" t="s">
        <v>28</v>
      </c>
      <c r="D3" t="s">
        <v>29</v>
      </c>
      <c r="F3" t="s">
        <v>30</v>
      </c>
      <c r="G3" s="22">
        <v>5000</v>
      </c>
      <c r="H3">
        <f t="shared" ref="H3:H5" si="0">IF(G3&lt;=200000,0.5%*G3,1000)</f>
        <v>25</v>
      </c>
      <c r="I3" s="22">
        <f t="shared" ref="I3:I5" si="1">7.5%*H3</f>
        <v>1.875</v>
      </c>
      <c r="J3" s="22">
        <f t="shared" ref="J3:J5" si="2">G3-(H3+I3)</f>
        <v>4973.125</v>
      </c>
      <c r="K3" s="22">
        <f t="shared" ref="K3:K5" si="3">IF( G3&lt;=28550,0.35%*G3,100)</f>
        <v>17.499999999999996</v>
      </c>
      <c r="L3" s="22">
        <f t="shared" ref="L3:L5" si="4">H3-K3</f>
        <v>7.5000000000000036</v>
      </c>
      <c r="N3" t="s">
        <v>31</v>
      </c>
      <c r="O3" t="s">
        <v>300</v>
      </c>
    </row>
    <row r="4" spans="1:15" x14ac:dyDescent="0.3">
      <c r="A4" t="s">
        <v>301</v>
      </c>
      <c r="B4" t="s">
        <v>67</v>
      </c>
      <c r="C4" t="s">
        <v>28</v>
      </c>
      <c r="D4" t="s">
        <v>29</v>
      </c>
      <c r="F4" t="s">
        <v>30</v>
      </c>
      <c r="G4" s="22">
        <v>500</v>
      </c>
      <c r="H4">
        <f t="shared" si="0"/>
        <v>2.5</v>
      </c>
      <c r="I4" s="22">
        <f t="shared" si="1"/>
        <v>0.1875</v>
      </c>
      <c r="J4" s="22">
        <f t="shared" si="2"/>
        <v>497.3125</v>
      </c>
      <c r="K4" s="22">
        <f t="shared" si="3"/>
        <v>1.7499999999999998</v>
      </c>
      <c r="L4" s="22">
        <f t="shared" si="4"/>
        <v>0.75000000000000022</v>
      </c>
      <c r="N4" t="s">
        <v>31</v>
      </c>
      <c r="O4" t="s">
        <v>302</v>
      </c>
    </row>
    <row r="5" spans="1:15" x14ac:dyDescent="0.3">
      <c r="A5" t="s">
        <v>303</v>
      </c>
      <c r="B5" t="s">
        <v>67</v>
      </c>
      <c r="C5" t="s">
        <v>28</v>
      </c>
      <c r="D5" t="s">
        <v>29</v>
      </c>
      <c r="F5" t="s">
        <v>30</v>
      </c>
      <c r="G5" s="22">
        <v>3100</v>
      </c>
      <c r="H5">
        <f t="shared" si="0"/>
        <v>15.5</v>
      </c>
      <c r="I5" s="22">
        <f t="shared" si="1"/>
        <v>1.1624999999999999</v>
      </c>
      <c r="J5" s="22">
        <f t="shared" si="2"/>
        <v>3083.3375000000001</v>
      </c>
      <c r="K5" s="22">
        <f t="shared" si="3"/>
        <v>10.85</v>
      </c>
      <c r="L5" s="22">
        <f t="shared" si="4"/>
        <v>4.6500000000000004</v>
      </c>
      <c r="N5" t="s">
        <v>31</v>
      </c>
      <c r="O5" t="s">
        <v>304</v>
      </c>
    </row>
    <row r="6" spans="1:15" x14ac:dyDescent="0.3">
      <c r="G6" s="26">
        <f t="shared" ref="G6:L6" si="5">SUM(G2:G5)</f>
        <v>13700</v>
      </c>
      <c r="H6" s="15">
        <f t="shared" si="5"/>
        <v>68.5</v>
      </c>
      <c r="I6" s="21">
        <f t="shared" si="5"/>
        <v>5.1374999999999993</v>
      </c>
      <c r="J6" s="26">
        <f t="shared" si="5"/>
        <v>13626.362499999999</v>
      </c>
      <c r="K6" s="26">
        <f t="shared" si="5"/>
        <v>47.949999999999996</v>
      </c>
      <c r="L6" s="21">
        <f t="shared" si="5"/>
        <v>20.550000000000004</v>
      </c>
    </row>
    <row r="9" spans="1:15" x14ac:dyDescent="0.3">
      <c r="A9" s="15" t="s">
        <v>306</v>
      </c>
      <c r="B9" s="15" t="s">
        <v>305</v>
      </c>
      <c r="C9" s="15"/>
      <c r="D9" s="15"/>
      <c r="E9" s="15"/>
      <c r="J9" s="15"/>
    </row>
    <row r="10" spans="1:15" x14ac:dyDescent="0.3">
      <c r="A10" s="15"/>
      <c r="B10" s="15"/>
      <c r="C10" s="15"/>
      <c r="D10" s="15"/>
      <c r="E10" s="15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896c179-f7e9-4b5b-b7d5-3e5025182ca9}" enabled="1" method="Standard" siteId="{714d8c0e-7ef7-4f3d-a374-f14c557ebae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Card Exp Settlm Computation</vt:lpstr>
      <vt:lpstr>01-01-2026</vt:lpstr>
      <vt:lpstr>02-01-2026</vt:lpstr>
      <vt:lpstr>03-01-2026</vt:lpstr>
      <vt:lpstr>04-01-2026</vt:lpstr>
      <vt:lpstr>05-01-2026</vt:lpstr>
      <vt:lpstr>06-01-2026</vt:lpstr>
      <vt:lpstr>07-01-2026</vt:lpstr>
      <vt:lpstr>08-01-2026</vt:lpstr>
      <vt:lpstr>09-01-2026</vt:lpstr>
      <vt:lpstr>10-01-2026</vt:lpstr>
      <vt:lpstr>11-01-2026</vt:lpstr>
      <vt:lpstr>12-01-2026</vt:lpstr>
      <vt:lpstr>13-01-2026</vt:lpstr>
      <vt:lpstr>14-01-2026</vt:lpstr>
      <vt:lpstr>15-01-2026</vt:lpstr>
      <vt:lpstr>16-01-2026</vt:lpstr>
      <vt:lpstr>17-01-2026</vt:lpstr>
      <vt:lpstr>18-01-2026</vt:lpstr>
      <vt:lpstr>19-01-2026</vt:lpstr>
      <vt:lpstr>20-01-2026</vt:lpstr>
      <vt:lpstr>21-01-2026</vt:lpstr>
      <vt:lpstr>22-01-2026</vt:lpstr>
      <vt:lpstr>23-01-2026</vt:lpstr>
      <vt:lpstr>24-01-2026</vt:lpstr>
      <vt:lpstr>25-01-2026</vt:lpstr>
      <vt:lpstr>26-01-2026</vt:lpstr>
      <vt:lpstr>27-01-2026</vt:lpstr>
      <vt:lpstr>28-01-2026</vt:lpstr>
      <vt:lpstr>29-01-2026</vt:lpstr>
      <vt:lpstr>30-01-2026</vt:lpstr>
      <vt:lpstr>31-01-2026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 Okafor</dc:creator>
  <cp:lastModifiedBy>Babasola Oso</cp:lastModifiedBy>
  <dcterms:created xsi:type="dcterms:W3CDTF">2026-01-07T09:03:51Z</dcterms:created>
  <dcterms:modified xsi:type="dcterms:W3CDTF">2026-03-16T16:28:29Z</dcterms:modified>
</cp:coreProperties>
</file>