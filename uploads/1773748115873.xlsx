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"/>
    </mc:Choice>
  </mc:AlternateContent>
  <xr:revisionPtr revIDLastSave="89" documentId="8_{A38BF54C-109F-430C-82C5-138F78A1C2BA}" xr6:coauthVersionLast="47" xr6:coauthVersionMax="47" xr10:uidLastSave="{3C685E6D-4DCA-49BB-8998-E11A6E6EB218}"/>
  <bookViews>
    <workbookView xWindow="-108" yWindow="-108" windowWidth="23256" windowHeight="12456" firstSheet="3" activeTab="7" xr2:uid="{057CC24F-1CE4-4557-AD3A-E92A1A3369A1}"/>
  </bookViews>
  <sheets>
    <sheet name="FUMDAM STORE" sheetId="1" r:id="rId1"/>
    <sheet name="IJE BEAUTY PLACE" sheetId="2" r:id="rId2"/>
    <sheet name="CHICHI FASHION DESIGNER" sheetId="3" r:id="rId3"/>
    <sheet name="ESTOMUH STORE" sheetId="4" r:id="rId4"/>
    <sheet name="AFOLABI MOJISOLA" sheetId="5" r:id="rId5"/>
    <sheet name="MR CHUKS CATERING" sheetId="6" r:id="rId6"/>
    <sheet name="CHRISTABEL STORE" sheetId="7" r:id="rId7"/>
    <sheet name="DEE TOPSTORE" sheetId="8" r:id="rId8"/>
    <sheet name="RAYMOND VENTURE" sheetId="9" r:id="rId9"/>
    <sheet name="ADEX UNIQUE" sheetId="10" r:id="rId10"/>
    <sheet name="BAYONLE SUCCESS" sheetId="11" r:id="rId11"/>
    <sheet name="ANNYBIZ" sheetId="12" r:id="rId12"/>
    <sheet name="FIADA VENTURES" sheetId="13" r:id="rId13"/>
    <sheet name="SPA LAVENDER" sheetId="14" r:id="rId14"/>
    <sheet name="OLA ALUBARIKA STORES" sheetId="15" r:id="rId15"/>
    <sheet name="OSHINDARA VENTURES" sheetId="16" r:id="rId16"/>
    <sheet name="DON ECUS" sheetId="17" r:id="rId17"/>
    <sheet name="ISHOLA VENTURES" sheetId="18" r:id="rId18"/>
    <sheet name="KOME LTD" sheetId="19" r:id="rId19"/>
    <sheet name="SHANU OLUWASEGUN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2" l="1"/>
  <c r="A116" i="11"/>
  <c r="A82" i="11"/>
  <c r="A147" i="9"/>
  <c r="A124" i="9"/>
  <c r="A61" i="9"/>
  <c r="A89" i="6"/>
  <c r="A67" i="6"/>
  <c r="A390" i="3"/>
  <c r="A372" i="3"/>
  <c r="A360" i="3"/>
  <c r="A333" i="3"/>
  <c r="A262" i="3"/>
  <c r="A79" i="3"/>
  <c r="A59" i="3"/>
  <c r="A368" i="1"/>
  <c r="A532" i="1"/>
</calcChain>
</file>

<file path=xl/sharedStrings.xml><?xml version="1.0" encoding="utf-8"?>
<sst xmlns="http://schemas.openxmlformats.org/spreadsheetml/2006/main" count="17385" uniqueCount="5350">
  <si>
    <t>Reference</t>
  </si>
  <si>
    <t>Session ID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</si>
  <si>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</si>
  <si>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</si>
  <si>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</si>
  <si>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</si>
  <si>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</si>
  <si>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</si>
  <si>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</si>
  <si>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Amount Settled</t>
  </si>
  <si>
    <t>Blusalt Charge</t>
  </si>
  <si>
    <t>Aggregator Charge</t>
  </si>
  <si>
    <t>VAT</t>
  </si>
  <si>
    <t>Stamp Duty</t>
  </si>
  <si>
    <t>Status</t>
  </si>
  <si>
    <t>Transaction Date</t>
  </si>
  <si>
    <t>TRN-IJC9JAH848G7CCKGG1CF97B60E993GBK</t>
  </si>
  <si>
    <t>fumdam store</t>
  </si>
  <si>
    <t>wallet_transfer</t>
  </si>
  <si>
    <t>wallet</t>
  </si>
  <si>
    <t>NGN</t>
  </si>
  <si>
    <t>successful</t>
  </si>
  <si>
    <t>2026-02-25T10:55:00.494Z</t>
  </si>
  <si>
    <t>TRN-FDIBEE3DGF20GI9E664DBK52615H03G7</t>
  </si>
  <si>
    <t>transfer from master to 2i53f92xjn</t>
  </si>
  <si>
    <t>2026-02-25T10:54:00.816Z</t>
  </si>
  <si>
    <t>TRN-2GDK81CEH6KJFA59EFCGC4GA5B20DDK5</t>
  </si>
  <si>
    <t>2026-02-25T10:54:00.804Z</t>
  </si>
  <si>
    <t>T1N-UCIEOdJlOwU_oWRYo</t>
  </si>
  <si>
    <t>bank_transfer</t>
  </si>
  <si>
    <t>NIBSS:9017158384:FUNMILAYO BUKONLA ASEKUN-ADEOYE:FUNMILAYO BUKONLA ASEKUN-ADEOYE 9550083590:100033260224060542786104582326</t>
  </si>
  <si>
    <t>2026-02-24T06:06:11.916Z</t>
  </si>
  <si>
    <t>TRN-F52DD752256DK979055EF7651KKG1G83</t>
  </si>
  <si>
    <t>2026-02-24T06:02:17.778Z</t>
  </si>
  <si>
    <t>TRN-336J2FBD756E07F8AGDGEAHID950568I</t>
  </si>
  <si>
    <t>2026-02-24T06:01:00.639Z</t>
  </si>
  <si>
    <t>TRN-8BC2944K3966HE5065BH8EI11HFHCC95</t>
  </si>
  <si>
    <t>2026-02-24T06:01:00.628Z</t>
  </si>
  <si>
    <t>wjYSNXsXGX5317PHQcpit</t>
  </si>
  <si>
    <t>NIBSS:9017158384:KOMIYO MORAYO OMOTEHINSE:Transfer from KOMIYO MORAYO OMOTEHINSE:100004260223135907153047180596</t>
  </si>
  <si>
    <t>2026-02-23T14:00:06.825Z</t>
  </si>
  <si>
    <t>TRN-852AI7C92CDEI2363DKJK321AHE9DF8H</t>
  </si>
  <si>
    <t>2026-02-16T05:39:13.664Z</t>
  </si>
  <si>
    <t>TRN-BFBCI6H8840KK0CKAD5K23J2J74JH2I8</t>
  </si>
  <si>
    <t>2026-02-16T05:34:02.924Z</t>
  </si>
  <si>
    <t>TRN-A8A78JGAH4EA121C6903412444219H0E</t>
  </si>
  <si>
    <t>2026-02-16T05:34:02.919Z</t>
  </si>
  <si>
    <t>3dazvYr-7JdWjZwhPaHiy</t>
  </si>
  <si>
    <t>NIBSS:9017158384:FUNMILAYO BUKONLA ASEKUN-ADEOYE:FUNMILAYO BUKONLA ASEKUN-ADEOYE 9550083590:100033260216053036473791531438</t>
  </si>
  <si>
    <t>2026-02-16T05:31:06.871Z</t>
  </si>
  <si>
    <t>TRN-8I29075506A68347E4H4BJ90A9F87C30</t>
  </si>
  <si>
    <t>2026-02-07T16:32:38.843Z</t>
  </si>
  <si>
    <t>TRN-9K215CCGJG1FEE343E2IAA7A1G9F5437</t>
  </si>
  <si>
    <t>2026-02-07T16:29:02.468Z</t>
  </si>
  <si>
    <t>TRN-098EG8477A1BI7CK3F8DK23344K45FIB</t>
  </si>
  <si>
    <t>2026-02-07T16:29:02.465Z</t>
  </si>
  <si>
    <t>E4R-YQ7KwYSVDxGlJA5bc</t>
  </si>
  <si>
    <t>NIBSS:9017158384:FUNMILAYO BUKONLA ASEKUN-ADEOYE:FUNMILAYO BUKONLA ASEKUN-ADEOYE 9550083590:100033260207162720686889418421</t>
  </si>
  <si>
    <t>2026-02-07T16:28:06.176Z</t>
  </si>
  <si>
    <t>TRN-4EF81492IJ41HFFHHEAG7K5HDCC4FG5G</t>
  </si>
  <si>
    <t>2026-02-02T22:20:00.514Z</t>
  </si>
  <si>
    <t>TRN-9DF6A29J4084GCIHF2KI8BB65DAC1HCA</t>
  </si>
  <si>
    <t>2026-02-02T22:18:10.153Z</t>
  </si>
  <si>
    <t>TRN-B93G0A1AH8D3I847G3JJ17HBBJKD4IA4</t>
  </si>
  <si>
    <t>2026-02-02T22:18:10.149Z</t>
  </si>
  <si>
    <t>xGIc48CzBlaiC0DP6vP1a</t>
  </si>
  <si>
    <t>NIBSS:9017158384:FUNMILAYO BUKONLA ASEKUN-ADEOYE:FUNMILAYO BUKONLA ASEKUN-ADEOYE 9550083590:100033260202221410974326564844</t>
  </si>
  <si>
    <t>2026-02-02T22:15:09.056Z</t>
  </si>
  <si>
    <t>TRN-IF27ABJ5KKG60B6E1513CA2D79GK4DI8</t>
  </si>
  <si>
    <t>2026-01-31T23:26:59.295Z</t>
  </si>
  <si>
    <t>TRN-684090C1KD599487J2176BKB024BIB5C</t>
  </si>
  <si>
    <t>2026-01-31T23:24:02.040Z</t>
  </si>
  <si>
    <t>TRN-JI1DG9JJKJ938CB146GABEJF6CA51FJG</t>
  </si>
  <si>
    <t>2026-01-31T23:24:02.037Z</t>
  </si>
  <si>
    <t>cCsZj6WMVZoDmYBz95Nur</t>
  </si>
  <si>
    <t>NIBSS:9017158384:FUNMILAYO BUKONLA ASEKUN-ADEOYE:FUNMILAYO BUKONLA ASEKUN-ADEOYE 9550083590:100033260131232119726578993657</t>
  </si>
  <si>
    <t>2026-01-31T23:22:04.798Z</t>
  </si>
  <si>
    <t>TRN-KG4811FJE4E7F4ED3ED904JA55CFE70E</t>
  </si>
  <si>
    <t>2026-01-30T18:08:52.784Z</t>
  </si>
  <si>
    <t>TRN-D4B3B8278CD53535IE39IGG8KB5KECJ4</t>
  </si>
  <si>
    <t>2026-01-30T18:06:35.721Z</t>
  </si>
  <si>
    <t>TRN-6BJBK8KG8917GDJD4HAED662E555K560</t>
  </si>
  <si>
    <t>2026-01-30T18:06:35.718Z</t>
  </si>
  <si>
    <t>rQuIbcmaq90V4E97Svo0f</t>
  </si>
  <si>
    <t>NIBSS:9017158384:FUNMILAYO BUKONLA ASEKUN-ADEOYE:FUNMILAYO BUKONLA ASEKUN-ADEOYE 9550083590:100033260130180408979924755689</t>
  </si>
  <si>
    <t>2026-01-30T18:05:03.963Z</t>
  </si>
  <si>
    <t>TRN-639JB6I2HI78D3E84E941DE41541HEF4</t>
  </si>
  <si>
    <t>2026-01-30T00:32:52.739Z</t>
  </si>
  <si>
    <t>TRN-JIHAEE7CBI7BG4GF8150I2IJ30GDFH4D</t>
  </si>
  <si>
    <t>2026-01-29T23:02:43.739Z</t>
  </si>
  <si>
    <t>TRN-H7K35A8GI1F61F0EI38BFE6JHHFGIE1J</t>
  </si>
  <si>
    <t>2026-01-29T23:02:43.735Z</t>
  </si>
  <si>
    <t>w9WSB7HeBfPdhC86f1v9h</t>
  </si>
  <si>
    <t>NIBSS:9017158384:FUNMILAYO BUKONLA ASEKUN-ADEOYE:FUNMILAYO BUKONLA ASEKUN-ADEOYE 9550083590:100033260129225413919309991973</t>
  </si>
  <si>
    <t>2026-01-29T22:55:09.409Z</t>
  </si>
  <si>
    <t>TRN-8E9K4IGHFD6FA524228HDBBCFEBBA285</t>
  </si>
  <si>
    <t>2026-01-29T19:07:24.168Z</t>
  </si>
  <si>
    <t>TRN-H9819CCC6BDB6J42GE757A9EAI2K2EJA</t>
  </si>
  <si>
    <t>2026-01-29T19:04:35.161Z</t>
  </si>
  <si>
    <t>TRN-G4I3E29A00K1D0K3H53JDBIFBC45DB35</t>
  </si>
  <si>
    <t>2026-01-29T19:04:35.157Z</t>
  </si>
  <si>
    <t>7RM8qwVItbRrN1NtsXF8i</t>
  </si>
  <si>
    <t>NIBSS:9017158384:FUNMILAYO BUKONLA ASEKUN-ADEOYE:FUNMILAYO BUKONLA ASEKUN-ADEOYE 9550083590:100033260129185830321337582674</t>
  </si>
  <si>
    <t>2026-01-29T18:59:04.903Z</t>
  </si>
  <si>
    <t>TRN-55191J9A2FKHAFGG332KI39JDF95A55J</t>
  </si>
  <si>
    <t>2026-01-29T12:08:10.292Z</t>
  </si>
  <si>
    <t>TRN-2H8D4J1KB28J6D5BDCJG653EB57K33BG</t>
  </si>
  <si>
    <t>2026-01-29T12:05:59.780Z</t>
  </si>
  <si>
    <t>TRN-3CJJGBI5JGD67961A6I0DH2C14J6BC3B</t>
  </si>
  <si>
    <t>2026-01-29T12:05:59.776Z</t>
  </si>
  <si>
    <t>jD2aI1tUQazkrp1NAFTTa</t>
  </si>
  <si>
    <t>NIBSS:9017158384:FUNMILAYO BUKONLA ASEKUN-ADEOYE:FUNMILAYO BUKONLA ASEKUN-ADEOYE 9550083590:100033260129120208283140392174</t>
  </si>
  <si>
    <t>2026-01-29T12:03:03.190Z</t>
  </si>
  <si>
    <t>TRN-K9KF81D691F34HCJJ3CDB8B0F7I5KF14</t>
  </si>
  <si>
    <t>2026-01-29T09:15:06.644Z</t>
  </si>
  <si>
    <t>TRN-8AGIBAIIGF8JH853C9570C9BBK9DBF0D</t>
  </si>
  <si>
    <t>2026-01-29T09:12:52.677Z</t>
  </si>
  <si>
    <t>TRN-DE53699429HD75FCF8D7C66BJHH2CHGK</t>
  </si>
  <si>
    <t>2026-01-29T09:12:52.674Z</t>
  </si>
  <si>
    <t>n88YjLIdgQiTMZipmfc5x</t>
  </si>
  <si>
    <t>NIBSS:9017158384:FUNMILAYO BUKONLA ASEKUN-ADEOYE:FUNMILAYO BUKONLA ASEKUN-ADEOYE 9550083590:100033260129090623530872529633</t>
  </si>
  <si>
    <t>2026-01-29T09:07:05.249Z</t>
  </si>
  <si>
    <t>TRN-4AF709JFHJFFA319EE0G4C9EGEHHD5K2</t>
  </si>
  <si>
    <t>2026-01-29T03:53:28.670Z</t>
  </si>
  <si>
    <t>TRN-F53J48937J981B1C04HA5D08G8CEID4A</t>
  </si>
  <si>
    <t>2026-01-29T03:45:17.183Z</t>
  </si>
  <si>
    <t>TRN-J03JE32IG4B563ICC5AFBEH63DHJ0KD5</t>
  </si>
  <si>
    <t>2026-01-29T03:42:16.700Z</t>
  </si>
  <si>
    <t>TRN-JIKIJ2K9K97FD1383A319EAEFI3GF894</t>
  </si>
  <si>
    <t>2026-01-29T03:40:08.541Z</t>
  </si>
  <si>
    <t>TRN-6FJFJ2B4H0GK78AKI0JD5AIAG80H0G01</t>
  </si>
  <si>
    <t>2026-01-29T03:40:08.536Z</t>
  </si>
  <si>
    <t>HeQkM9OGcH2ihQx1Xc--2</t>
  </si>
  <si>
    <t>NIBSS:9017158384:FUNMILAYO BUKONLA ASEKUN-ADEOYE:FUNMILAYO BUKONLA ASEKUN-ADEOYE 9550083590:100033260128220453169145240214</t>
  </si>
  <si>
    <t>2026-01-28T22:05:04.129Z</t>
  </si>
  <si>
    <t>TRN-C44435JIHK9KI481H5630HEAA0E1H29E</t>
  </si>
  <si>
    <t>2026-01-28T22:02:57.560Z</t>
  </si>
  <si>
    <t>TRN-088F87H2DKC125KKG7I9HJ33F50A8JCA</t>
  </si>
  <si>
    <t>2026-01-28T21:50:27.050Z</t>
  </si>
  <si>
    <t>TRN-FDG25I7D2116K4AGGJG9318BF14JCI15</t>
  </si>
  <si>
    <t>2026-01-28T21:50:27.046Z</t>
  </si>
  <si>
    <t>XDr1H7w4R9kGnlM-wmeJl</t>
  </si>
  <si>
    <t>NIBSS:9017158384:FUNMILAYO BUKONLA ASEKUN-ADEOYE:FUNMILAYO BUKONLA ASEKUN-ADEOYE 9550083590:100033260128212534624578156463</t>
  </si>
  <si>
    <t>2026-01-28T21:26:05.790Z</t>
  </si>
  <si>
    <t>TRN-D3HHGG70B6GFIA48HG6CAFI5FK55E20G</t>
  </si>
  <si>
    <t>2026-01-28T18:18:03.663Z</t>
  </si>
  <si>
    <t>TRN-5220KE6E3K71G283B64F37895G03E746</t>
  </si>
  <si>
    <t>2026-01-28T18:16:20.463Z</t>
  </si>
  <si>
    <t>TRN-0HE44483I4BA62FJ5F5FKGI5BD649243</t>
  </si>
  <si>
    <t>2026-01-28T18:16:20.460Z</t>
  </si>
  <si>
    <t>lFnE4awKZ-gGfV6KSwVEh</t>
  </si>
  <si>
    <t>NIBSS:9017158384:FUNMILAYO BUKONLA ASEKUN-ADEOYE:FUNMILAYO BUKONLA ASEKUN-ADEOYE 9550083590:100033260128181118262964152636</t>
  </si>
  <si>
    <t>2026-01-28T18:12:07.342Z</t>
  </si>
  <si>
    <t>TRN-ED2B7F3A9ECKI154FF97HK46FEIAI8HC</t>
  </si>
  <si>
    <t>2026-01-28T12:15:30.404Z</t>
  </si>
  <si>
    <t>TRN-BC8K0G64E15B16B9HJ90BK812I6EE9HF</t>
  </si>
  <si>
    <t>2026-01-28T12:13:45.613Z</t>
  </si>
  <si>
    <t>TRN-0DGFHE24DB5GGFJGF8AI8GK6777E9421</t>
  </si>
  <si>
    <t>2026-01-28T12:13:45.610Z</t>
  </si>
  <si>
    <t>0SRcq-0Gg9TrqqFi2KOcz</t>
  </si>
  <si>
    <t>NIBSS:9017158384:FUNMILAYO BUKONLA ASEKUN-ADEOYE:FUNMILAYO BUKONLA ASEKUN-ADEOYE 9550083590:100033260128121208932183404916</t>
  </si>
  <si>
    <t>2026-01-28T12:13:03.243Z</t>
  </si>
  <si>
    <t>TRN-5A7H516GFE6470HJJGC7F2KDEKF8K1GA</t>
  </si>
  <si>
    <t>2026-01-28T05:54:34.034Z</t>
  </si>
  <si>
    <t>TRN-3GBCJ63AI4735E5G57FEBKHIG2I811K6</t>
  </si>
  <si>
    <t>2026-01-28T05:53:26.098Z</t>
  </si>
  <si>
    <t>TRN-5951KE2AKC0D72108K1EI5C0A2CC726D</t>
  </si>
  <si>
    <t>2026-01-28T05:53:26.093Z</t>
  </si>
  <si>
    <t>D0S94GjWvBSvsY8u_sY5N</t>
  </si>
  <si>
    <t>NIBSS:9017158384:FUNMILAYO BUKONLA ASEKUN-ADEOYE:FUNMILAYO BUKONLA ASEKUN-ADEOYE 9550083590:100033260128051103988838810922</t>
  </si>
  <si>
    <t>2026-01-28T05:12:06.965Z</t>
  </si>
  <si>
    <t>TRN-137CGGJFK82C3I204386J3B4D4KEDB5J</t>
  </si>
  <si>
    <t>2026-01-28T02:25:49.306Z</t>
  </si>
  <si>
    <t>TRN-C3IK5H601GG7H1523G1528G3E4FAJ1HE</t>
  </si>
  <si>
    <t>2026-01-28T02:22:06.448Z</t>
  </si>
  <si>
    <t>TRN-A04H8HA4DH5G9HBB93FHA5E2H1HADH73</t>
  </si>
  <si>
    <t>2026-01-28T02:20:48.828Z</t>
  </si>
  <si>
    <t>TRN-DDF7IHC3GGBI3IJIF01IK0243C698J64</t>
  </si>
  <si>
    <t>2026-01-28T02:19:18.549Z</t>
  </si>
  <si>
    <t>TRN-8ABH6KDKJ01IGK88J89J6FK09G36D95J</t>
  </si>
  <si>
    <t>2026-01-27T20:48:35.608Z</t>
  </si>
  <si>
    <t>TRN-3G9949J6JKBAGAD0E5FJC95D9B6I3AJB</t>
  </si>
  <si>
    <t>2026-01-27T17:52:14.438Z</t>
  </si>
  <si>
    <t>TRN-5FJK9BGHJ25BCB2G9I9B1CGAIC8H7DB8</t>
  </si>
  <si>
    <t>2026-01-27T14:40:48.219Z</t>
  </si>
  <si>
    <t>TRN-G04DH8FC5G3FB3A8JDK4AJH60001079C</t>
  </si>
  <si>
    <t>2026-01-27T10:02:51.251Z</t>
  </si>
  <si>
    <t>TRN-09910F85HF6J9H73440G0IEJ82JKH585</t>
  </si>
  <si>
    <t>2026-01-27T10:01:30.735Z</t>
  </si>
  <si>
    <t>TRN-F63F9IIJD940DIDFD94H4HCAF09K5392</t>
  </si>
  <si>
    <t>2026-01-27T09:59:15.471Z</t>
  </si>
  <si>
    <t>TRN-J9H5E3IA045D0553F7CG81IDC0G06A4A</t>
  </si>
  <si>
    <t>2026-01-27T09:59:15.467Z</t>
  </si>
  <si>
    <t>o8LPfxTPm-feOfIuz5fSZ</t>
  </si>
  <si>
    <t>NIBSS:9017158384:FUNMILAYO BUKONLA ASEKUN-ADEOYE:FUNMILAYO BUKONLA ASEKUN-ADEOYE 9550083590:100033260127092331816898693897</t>
  </si>
  <si>
    <t>2026-01-27T09:24:04.897Z</t>
  </si>
  <si>
    <t>TRN-JFF65A448C3EGI25K651CGF301AJ86I0</t>
  </si>
  <si>
    <t>2026-01-27T09:11:41.639Z</t>
  </si>
  <si>
    <t>TRN-KBE4B11EK63581160JAE93B0JGBB82H3</t>
  </si>
  <si>
    <t>2026-01-27T09:10:35.865Z</t>
  </si>
  <si>
    <t>TRN-45D8EDAJ4DJ93B1239HGDGHA9990FHBD</t>
  </si>
  <si>
    <t>2026-01-27T08:08:33.992Z</t>
  </si>
  <si>
    <t>TRN-GJ8KKFJH2FCEB7HF9H0C7HE1H1AJ7IKE</t>
  </si>
  <si>
    <t>2026-01-27T07:14:45.085Z</t>
  </si>
  <si>
    <t>TRN-I8HEK2G925I9610F9FA28603B603CB5A</t>
  </si>
  <si>
    <t>2026-01-27T07:13:06.943Z</t>
  </si>
  <si>
    <t>TRN-FE2125F7AA28ECHKF4FAH01I23CJ3G93</t>
  </si>
  <si>
    <t>2026-01-27T07:09:02.882Z</t>
  </si>
  <si>
    <t>TRN-959J0KF19C904FJ6343C97551B4JA268</t>
  </si>
  <si>
    <t>2026-01-27T07:09:02.879Z</t>
  </si>
  <si>
    <t>7iTj4PU-r7_ylNLqxaPp4</t>
  </si>
  <si>
    <t>NIBSS:9017158384:FUNMILAYO BUKONLA ASEKUN-ADEOYE:FUNMILAYO BUKONLA ASEKUN-ADEOYE 9550083590:100033260127070727296725731435</t>
  </si>
  <si>
    <t>2026-01-27T07:08:05.216Z</t>
  </si>
  <si>
    <t>TRN-F8C04FIG5G8C1B0IB22I6G2K1DK212H7</t>
  </si>
  <si>
    <t>2026-01-27T05:33:56.371Z</t>
  </si>
  <si>
    <t>TRN-K19FFFKI1KH3K72E029AFKAG0AJK32DJ</t>
  </si>
  <si>
    <t>2026-01-27T04:12:04.504Z</t>
  </si>
  <si>
    <t>TRN-IE8JC47DBA80HFK7DD98B9D98DJAJ971</t>
  </si>
  <si>
    <t>2026-01-27T04:10:51.720Z</t>
  </si>
  <si>
    <t>TRN-J1E7BJ3AH670237CHG4301164II5KK16</t>
  </si>
  <si>
    <t>2026-01-27T04:10:51.715Z</t>
  </si>
  <si>
    <t>K5l2fUCvW1_qJSMcDeeQt</t>
  </si>
  <si>
    <t>NIBSS:9017158384:FUNMILAYO BUKONLA ASEKUN-ADEOYE:FUNMILAYO BUKONLA ASEKUN-ADEOYE 9550083590:100033260127040909910645849202</t>
  </si>
  <si>
    <t>2026-01-27T04:10:03.646Z</t>
  </si>
  <si>
    <t>TRN-B3GIF564KJE71GJ6KF9GD54E2G6J6470</t>
  </si>
  <si>
    <t>2026-01-27T03:43:47.119Z</t>
  </si>
  <si>
    <t>TRN-DF6D5687AC43HADH4A84G9DFD6G542GK</t>
  </si>
  <si>
    <t>2026-01-27T03:41:21.021Z</t>
  </si>
  <si>
    <t>TRN-IIB187409JI23A03I3709BB72G7GKK5B</t>
  </si>
  <si>
    <t>2026-01-27T03:41:21.015Z</t>
  </si>
  <si>
    <t>6gDcBhVFSU6FzPxBZ-bV8</t>
  </si>
  <si>
    <t>NIBSS:9017158384:FUNMILAYO BUKONLA ASEKUN-ADEOYE:FUNMILAYO BUKONLA ASEKUN-ADEOYE 9550083590:100033260126223140513142987987</t>
  </si>
  <si>
    <t>2026-01-26T22:32:04.086Z</t>
  </si>
  <si>
    <t>TRN-K9HCC0247GI28598948FEII93IKH9IFD</t>
  </si>
  <si>
    <t>2026-01-26T21:37:10.545Z</t>
  </si>
  <si>
    <t>TRN-J986GB69GFK7JD9AJI0IJ862D4K30C1K</t>
  </si>
  <si>
    <t>2026-01-26T21:34:41.293Z</t>
  </si>
  <si>
    <t>TRN-F05JGIF40IH312717GCIHJF02816G24B</t>
  </si>
  <si>
    <t>2026-01-26T21:34:41.290Z</t>
  </si>
  <si>
    <t>aoP6SMXw06vT5AQ-ES402</t>
  </si>
  <si>
    <t>NIBSS:9017158384:FUNMILAYO BUKONLA ASEKUN-ADEOYE:FUNMILAYO BUKONLA ASEKUN-ADEOYE 9550083590:100033260126200541563684101683</t>
  </si>
  <si>
    <t>2026-01-26T20:06:03.431Z</t>
  </si>
  <si>
    <t>uvSXUVh4a28dS__yC5zTT</t>
  </si>
  <si>
    <t>NIBSS:9017158384:FUNMILAYO BUKONLA ASEKUN-ADEOYE:FUNMILAYO BUKONLA ASEKUN-ADEOYE 9550083590:100033260126200051984697063151</t>
  </si>
  <si>
    <t>2026-01-26T20:02:04.066Z</t>
  </si>
  <si>
    <t>TRN-C13484B8AG4942C67G1F0CDJ3GHKK79H</t>
  </si>
  <si>
    <t>2026-01-26T06:32:25.393Z</t>
  </si>
  <si>
    <t>TRN-9F4ECGJFDF1J5G7B26230ADA4BED3429</t>
  </si>
  <si>
    <t>2026-01-26T06:29:59.719Z</t>
  </si>
  <si>
    <t>TRN-AF50D1C0JA1CJ4I3CGCF52BBFDCJ421E</t>
  </si>
  <si>
    <t>2026-01-26T06:27:08.264Z</t>
  </si>
  <si>
    <t>TRN-CB6EIG0J1JA4G1KKI6IGB038AF419EKE</t>
  </si>
  <si>
    <t>2026-01-26T06:23:37.780Z</t>
  </si>
  <si>
    <t>TRN-E66AF647GK78ECDJHBFBKKBJH5HFJ0K0</t>
  </si>
  <si>
    <t>2026-01-26T06:23:37.775Z</t>
  </si>
  <si>
    <t>RRXDQ8iRvYH8M1JJqDSkH</t>
  </si>
  <si>
    <t>NIBSS:9017158384:FUNMILAYO BUKONLA ASEKUN-ADEOYE:FUNMILAYO BUKONLA ASEKUN-ADEOYE 9550083590:100033260126054432797783163411</t>
  </si>
  <si>
    <t>2026-01-26T05:45:06.951Z</t>
  </si>
  <si>
    <t>TRN-1A191A2JEH98KAFBEG46DC50FD7IB363</t>
  </si>
  <si>
    <t>2026-01-26T05:05:39.134Z</t>
  </si>
  <si>
    <t>TRN-H05DK0A0K4EH4664050A0G5349K9006B</t>
  </si>
  <si>
    <t>2026-01-26T05:03:00.128Z</t>
  </si>
  <si>
    <t>TRN-8CDG2GF4E682CFHE4I5KC6EE23A04H3E</t>
  </si>
  <si>
    <t>2026-01-26T05:03:00.123Z</t>
  </si>
  <si>
    <t>Tutl-EwfU9fhLMAnRZbt1</t>
  </si>
  <si>
    <t>NIBSS:9017158384:FUNMILAYO BUKONLA ASEKUN-ADEOYE:FUNMILAYO BUKONLA ASEKUN-ADEOYE 9550083590:100033260125215019682647006977</t>
  </si>
  <si>
    <t>2026-01-25T21:51:03.847Z</t>
  </si>
  <si>
    <t>TRN-E7F6259JHG672G8DFBE923JG3I5F5D90</t>
  </si>
  <si>
    <t>2026-01-25T18:25:40.329Z</t>
  </si>
  <si>
    <t>TRN-DB1F22HJC302F518F2814CKI5849J7CA</t>
  </si>
  <si>
    <t>2026-01-25T18:19:06.522Z</t>
  </si>
  <si>
    <t>TRN-0B08A3E76JEB74CI4CB73DI26G00JC0F</t>
  </si>
  <si>
    <t>2026-01-25T18:19:06.517Z</t>
  </si>
  <si>
    <t>OL-Ai0ercWGHS3qtkS-7l</t>
  </si>
  <si>
    <t>NIBSS:9017158384:FUNMILAYO BUKONLA ASEKUN-ADEOYE:FUNMILAYO BUKONLA ASEKUN-ADEOYE 9550083590:100033260125181222810260623573</t>
  </si>
  <si>
    <t>2026-01-25T18:13:03.845Z</t>
  </si>
  <si>
    <t>TRN-A92HCEJFBH7BJF6B3GI06KK293J3H92J</t>
  </si>
  <si>
    <t>2026-01-25T10:38:33.200Z</t>
  </si>
  <si>
    <t>TRN-1KAH2J1AJ7DB8J6CCFKI6GABKCKH3I13</t>
  </si>
  <si>
    <t>2026-01-25T10:11:26.073Z</t>
  </si>
  <si>
    <t>TRN-I3GBII2C7CH51HCBIB9DIEBF37861J9G</t>
  </si>
  <si>
    <t>2026-01-25T10:11:26.069Z</t>
  </si>
  <si>
    <t>0i5vXZ-hXvm1z69NcXeIx</t>
  </si>
  <si>
    <t>NIBSS:9017158384:FUNMILAYO BUKONLA ASEKUN-ADEOYE:FUNMILAYO BUKONLA ASEKUN-ADEOYE 9550083590:100033260125092803622551394424</t>
  </si>
  <si>
    <t>2026-01-25T09:29:07.036Z</t>
  </si>
  <si>
    <t>TRN-CK7BGAFH4E30F60158182ID3H1BC5HI1</t>
  </si>
  <si>
    <t>2026-01-25T05:00:55.069Z</t>
  </si>
  <si>
    <t>TRN-H3B3G6BC4E9JEHHDIKKKEK06G3B527FJ</t>
  </si>
  <si>
    <t>2026-01-25T04:57:27.846Z</t>
  </si>
  <si>
    <t>TRN-G1AGE9CDA6HG46CJ0FGF06K7F585BKEE</t>
  </si>
  <si>
    <t>2026-01-25T04:57:27.841Z</t>
  </si>
  <si>
    <t>bNp14SCtLsnOc0SpFMmix</t>
  </si>
  <si>
    <t>NIBSS:9017158384:FUNMILAYO BUKONLA ASEKUN-ADEOYE:FUNMILAYO BUKONLA ASEKUN-ADEOYE 9550083590:100033260124205616760945419103</t>
  </si>
  <si>
    <t>2026-01-24T20:57:06.011Z</t>
  </si>
  <si>
    <t>TRN-19E8I7C2C36JI88JBJ973304ICCJC9A8</t>
  </si>
  <si>
    <t>2026-01-24T20:53:12.470Z</t>
  </si>
  <si>
    <t>TRN-74JA2GF0EHFK1BC5KBHJ7850BI2D04C6</t>
  </si>
  <si>
    <t>2026-01-24T20:49:55.524Z</t>
  </si>
  <si>
    <t>TRN-G6K8E2B82K73CHJ697G8F31H9BJ374FJ</t>
  </si>
  <si>
    <t>2026-01-24T20:49:55.520Z</t>
  </si>
  <si>
    <t>PoJMLkOO05IwoX2E31DjQ</t>
  </si>
  <si>
    <t>NIBSS:9017158384:FUNMILAYO BUKONLA ASEKUN-ADEOYE:FUNMILAYO BUKONLA ASEKUN-ADEOYE 9550083590:100033260124203913409445778760</t>
  </si>
  <si>
    <t>2026-01-24T20:40:04.707Z</t>
  </si>
  <si>
    <t>TRN-G7BDFKEI71A2J1E40H7B2FG2I379IJ15</t>
  </si>
  <si>
    <t>2026-01-24T11:31:35.168Z</t>
  </si>
  <si>
    <t>TRN-BE3GH4C4F1C466G25D7AHIB4CCDIBA3K</t>
  </si>
  <si>
    <t>2026-01-24T11:26:14.507Z</t>
  </si>
  <si>
    <t>TRN-9D5DB1K5006EBCCDB3J3GD5J7HAD986G</t>
  </si>
  <si>
    <t>2026-01-24T11:26:14.504Z</t>
  </si>
  <si>
    <t>N2qagsvTHmSUC6mvIqkAU</t>
  </si>
  <si>
    <t>NIBSS:9017158384:FUNMILAYO BUKONLA ASEKUN-ADEOYE:FUNMILAYO BUKONLA ASEKUN-ADEOYE 9550083590:100033260124110425580435381416</t>
  </si>
  <si>
    <t>2026-01-24T11:05:03.893Z</t>
  </si>
  <si>
    <t>TRN-CH4GCGF969JG0BJJ95I9J514AF7HDI2G</t>
  </si>
  <si>
    <t>2026-01-24T02:46:17.786Z</t>
  </si>
  <si>
    <t>TRN-7JJD83AA034GC41DIEHFAD4H7A4KI77G</t>
  </si>
  <si>
    <t>2026-01-24T02:44:02.193Z</t>
  </si>
  <si>
    <t>TRN-J05KE0GAD5DJJ164GHI7C80604KB8643</t>
  </si>
  <si>
    <t>2026-01-24T02:44:02.190Z</t>
  </si>
  <si>
    <t>p86KMBVfVne3l7PAg1Nmb</t>
  </si>
  <si>
    <t>NIBSS:9017158384:FUNMILAYO BUKONLA ASEKUN-ADEOYE:FUNMILAYO BUKONLA ASEKUN-ADEOYE 9550083590:100033260124022820351245722910</t>
  </si>
  <si>
    <t>2026-01-24T02:29:05.543Z</t>
  </si>
  <si>
    <t>TRN-ECDCF56136J628HBGF0C2K45D2G8CB42</t>
  </si>
  <si>
    <t>2026-01-24T02:23:19.653Z</t>
  </si>
  <si>
    <t>TRN-9FEAK35BK7K03IIDG02HB8CEFA9KI9A4</t>
  </si>
  <si>
    <t>2026-01-24T02:16:54.390Z</t>
  </si>
  <si>
    <t>TRN-I8AC620DDEFHGGFBIEC3CF9D4HC9IGK0</t>
  </si>
  <si>
    <t>2026-01-24T02:16:54.385Z</t>
  </si>
  <si>
    <t>jidv_4tj4qPZ6j2qeajqe</t>
  </si>
  <si>
    <t>NIBSS:9017158384:FUNMILAYO BUKONLA ASEKUN-ADEOYE:FUNMILAYO BUKONLA ASEKUN-ADEOYE 9550083590:100033260123224034483697591612</t>
  </si>
  <si>
    <t>2026-01-23T23:31:58.707Z</t>
  </si>
  <si>
    <t>TRN-1I1DFFDDA502HKAC49J27GEJ70J6092E</t>
  </si>
  <si>
    <t>2026-01-23T18:53:59.610Z</t>
  </si>
  <si>
    <t>TRN-DDAB5GE3DA9DCAE26FJH7A25340HD3A9</t>
  </si>
  <si>
    <t>2026-01-23T18:52:29.112Z</t>
  </si>
  <si>
    <t>TRN-7E6G7AG598AAH61H94IA3JF31A85HIG0</t>
  </si>
  <si>
    <t>2026-01-23T18:52:29.108Z</t>
  </si>
  <si>
    <t>5Se--0RLDi8rEwqpuDkeb</t>
  </si>
  <si>
    <t>NIBSS:9017158384:FUNMILAYO BUKONLA ASEKUN-ADEOYE:FUNMILAYO BUKONLA ASEKUN-ADEOYE 9550083590:100033260123185031439380832784</t>
  </si>
  <si>
    <t>2026-01-23T18:51:06.381Z</t>
  </si>
  <si>
    <t>TRN-7JB15BJC0929C31009AF3CFAHK2FE9C9</t>
  </si>
  <si>
    <t>2026-01-23T04:17:46.744Z</t>
  </si>
  <si>
    <t>TRN-62HGJG4D2BJ4AJ4HC13C5AFJ5BFE75CB</t>
  </si>
  <si>
    <t>2026-01-22T19:02:00.064Z</t>
  </si>
  <si>
    <t>TRN-98HI9I2FH229A2CCD6JBC8KF0JBEG2K5</t>
  </si>
  <si>
    <t>2026-01-22T18:55:06.064Z</t>
  </si>
  <si>
    <t>TRN-IK6AF70A17399DC179341B21I9HD1ACB</t>
  </si>
  <si>
    <t>2026-01-22T18:51:28.518Z</t>
  </si>
  <si>
    <t>TRN-97JK8C79C6IA6GK112KF4EK9DF801F06</t>
  </si>
  <si>
    <t>2026-01-22T18:51:28.514Z</t>
  </si>
  <si>
    <t>nX2ScxGP8wxo6dJj1iqRU</t>
  </si>
  <si>
    <t>NIBSS:9017158384:FUNMILAYO BUKONLA ASEKUN-ADEOYE:FUNMILAYO BUKONLA ASEKUN-ADEOYE 9550083590:100033260122184933265966378369</t>
  </si>
  <si>
    <t>2026-01-22T18:50:06.918Z</t>
  </si>
  <si>
    <t>TRN-9FB4IEFF8F3EIKA4B9I8H74D6IE4CBA5</t>
  </si>
  <si>
    <t>2026-01-22T04:47:07.870Z</t>
  </si>
  <si>
    <t>TRN-05DHDIHF08E55DK990BFHI7B4B3C19H3</t>
  </si>
  <si>
    <t>2026-01-22T04:44:01.235Z</t>
  </si>
  <si>
    <t>TRN-J89GGHH785E2186FAD79GECJF0FDKCF6</t>
  </si>
  <si>
    <t>2026-01-22T04:44:01.229Z</t>
  </si>
  <si>
    <t>LS7FAtNb9l1aXD5Ku90TM</t>
  </si>
  <si>
    <t>NIBSS:9017158384:FUNMILAYO BUKONLA ASEKUN-ADEOYE:FUNMILAYO BUKONLA ASEKUN-ADEOYE 9550083590:100033260122044242665300590288</t>
  </si>
  <si>
    <t>2026-01-22T04:43:04.329Z</t>
  </si>
  <si>
    <t>TRN-I2579CG4GH73IJIE9GFAIHJG4AF8BBJ6</t>
  </si>
  <si>
    <t>2026-01-22T02:01:12.893Z</t>
  </si>
  <si>
    <t>TRN-0ED6G448FC0D594GH32G0J4F9FBBD1FB</t>
  </si>
  <si>
    <t>2026-01-22T01:57:54.507Z</t>
  </si>
  <si>
    <t>TRN-4F3HF5KFG52EBBDI2DBCAC1B9K347GJB</t>
  </si>
  <si>
    <t>2026-01-22T01:57:54.502Z</t>
  </si>
  <si>
    <t>WIR5VK7CImilUfUQdHVe6</t>
  </si>
  <si>
    <t>NIBSS:9017158384:FUNMILAYO BUKONLA ASEKUN-ADEOYE:FUNMILAYO BUKONLA ASEKUN-ADEOYE 9550083590:100033260121222225889196720003</t>
  </si>
  <si>
    <t>2026-01-21T22:23:05.333Z</t>
  </si>
  <si>
    <t>TRN-C3A0E6C5J6BH22415AC78D82JHCFIFB6</t>
  </si>
  <si>
    <t>2026-01-21T04:41:29.237Z</t>
  </si>
  <si>
    <t>TRN-4BK9E31FC1JI4J49BF1JAKA6GJ4JBC57</t>
  </si>
  <si>
    <t>2026-01-21T04:37:13.922Z</t>
  </si>
  <si>
    <t>TRN-8HA2C2J207JIHB9F7IJK1I4414HBK6J0</t>
  </si>
  <si>
    <t>2026-01-21T04:37:13.917Z</t>
  </si>
  <si>
    <t>fuFao5mYJVDfKwZlRXxyh</t>
  </si>
  <si>
    <t>NIBSS:9017158384:FUNMILAYO BUKONLA ASEKUN-ADEOYE:FUNMILAYO BUKONLA ASEKUN-ADEOYE 9550083590:100033260120221132844905397042</t>
  </si>
  <si>
    <t>2026-01-20T22:12:04.874Z</t>
  </si>
  <si>
    <t>TRN-764E66H2FFIG872902109FD687EHF7H0</t>
  </si>
  <si>
    <t>2026-01-20T03:16:03.964Z</t>
  </si>
  <si>
    <t>TRN-GD9647E76A7J36F29E6CKI1DC8D074J4</t>
  </si>
  <si>
    <t>2026-01-20T03:12:05.293Z</t>
  </si>
  <si>
    <t>TRN-992KE6B5K0KHE9A742CG59JBCJC6H368</t>
  </si>
  <si>
    <t>2026-01-20T03:12:05.288Z</t>
  </si>
  <si>
    <t>nmMXBL6rQP2zsUZp_Oslo</t>
  </si>
  <si>
    <t>NIBSS:9017158384:FUNMILAYO BUKONLA ASEKUN-ADEOYE:FUNMILAYO BUKONLA ASEKUN-ADEOYE 9550083590:100033260119222933360082361933</t>
  </si>
  <si>
    <t>2026-01-19T22:30:04.792Z</t>
  </si>
  <si>
    <t>TRN-8H747IGIBBGEF5EDHAG138D0J4F7HD8D</t>
  </si>
  <si>
    <t>2026-01-18T22:22:22.193Z</t>
  </si>
  <si>
    <t>TRN-C0JIC9EB5B967EEKG02ABC7J2EBC9BED</t>
  </si>
  <si>
    <t>2026-01-18T22:20:04.765Z</t>
  </si>
  <si>
    <t>TRN-D4FEC15IE7C03834GIHI87JKD6F55I0E</t>
  </si>
  <si>
    <t>2026-01-18T22:20:04.761Z</t>
  </si>
  <si>
    <t>vBtoGu5FIL6cI2eBVJ-B3</t>
  </si>
  <si>
    <t>NIBSS:9017158384:FUNMILAYO BUKONLA ASEKUN-ADEOYE:FUNMILAYO BUKONLA ASEKUN-ADEOYE 9550083590:100033260118213359673729355879</t>
  </si>
  <si>
    <t>2026-01-18T21:35:05.027Z</t>
  </si>
  <si>
    <t>TRN-IB5IGB5BCC6JFJH32469D0E50A98I13B</t>
  </si>
  <si>
    <t>2026-01-18T05:31:05.233Z</t>
  </si>
  <si>
    <t>TRN-4FEBGDJ6540JAA91CK3B0IG3B9EGFJCK</t>
  </si>
  <si>
    <t>2026-01-18T05:28:08.807Z</t>
  </si>
  <si>
    <t>TRN-5972IJ88JI9G84DBJ7HBG7F8EH263JGG</t>
  </si>
  <si>
    <t>2026-01-18T05:28:08.800Z</t>
  </si>
  <si>
    <t>TST-01/18/2026_2203</t>
  </si>
  <si>
    <t>settlement</t>
  </si>
  <si>
    <t>BFS Settlement 1/17/2026</t>
  </si>
  <si>
    <t>2026-01-18T01:00:03.307Z</t>
  </si>
  <si>
    <t>cCLJsV0fjNXZ3-I0vbPnV</t>
  </si>
  <si>
    <t>card</t>
  </si>
  <si>
    <t>pos</t>
  </si>
  <si>
    <t>2026-01-17T22:38:04.203Z</t>
  </si>
  <si>
    <t>nMPhlTOdLimstrJAmGvu-</t>
  </si>
  <si>
    <t>failed</t>
  </si>
  <si>
    <t>2026-01-17T22:36:35.579Z</t>
  </si>
  <si>
    <t>cbITvxzoJh8nwcncj9yx_</t>
  </si>
  <si>
    <t>2026-01-17T22:36:00.680Z</t>
  </si>
  <si>
    <t>aO9N00ecgVclpanLQnVDu</t>
  </si>
  <si>
    <t>NIBSS:9017158384:FUNMILAYO BUKONLA ASEKUN-ADEOYE:FUNMILAYO BUKONLA ASEKUN-ADEOYE 9550083590:100033260117191841581722922122</t>
  </si>
  <si>
    <t>2026-01-17T19:19:04.550Z</t>
  </si>
  <si>
    <t>TRN-4GKA2DH9DJK8DBG3HAEC571B2D7AG5J2</t>
  </si>
  <si>
    <t>2026-01-17T04:29:59.204Z</t>
  </si>
  <si>
    <t>TRN-60AIFGKB3EF5K2I3GKGKEH34143JIK05</t>
  </si>
  <si>
    <t>2026-01-17T04:27:18.772Z</t>
  </si>
  <si>
    <t>TRN-JCJH68CIBGCE871C5D5K85701D4BKHGH</t>
  </si>
  <si>
    <t>2026-01-17T04:27:18.766Z</t>
  </si>
  <si>
    <t>TST-01/17/2026_2203</t>
  </si>
  <si>
    <t>BFS Settlement 1/16/2026</t>
  </si>
  <si>
    <t>2026-01-17T01:00:04.286Z</t>
  </si>
  <si>
    <t>JJZ9P5rCRUxnu5gR0Ff-w</t>
  </si>
  <si>
    <t>2026-01-16T21:44:03.462Z</t>
  </si>
  <si>
    <t>TRN-273036KKDDBC6CG2F0K7BE3G0KHD0EK1</t>
  </si>
  <si>
    <t>2026-01-16T04:35:29.742Z</t>
  </si>
  <si>
    <t>TRN-KAFKFHH42GF5IC4EEC1IHA9KK93DGI3K</t>
  </si>
  <si>
    <t>2026-01-16T04:33:13.882Z</t>
  </si>
  <si>
    <t>TRN-11HKFI1FFG2A0ICB8F007CE2F6ADJCB7</t>
  </si>
  <si>
    <t>2026-01-16T04:33:13.877Z</t>
  </si>
  <si>
    <t>TST-01/16/2026_2203</t>
  </si>
  <si>
    <t>BFS Settlement 1/15/2026</t>
  </si>
  <si>
    <t>2026-01-16T01:00:04.406Z</t>
  </si>
  <si>
    <t>NHn7qI0nYHwvrNAf60PZq</t>
  </si>
  <si>
    <t>2026-01-15T21:21:29.267Z</t>
  </si>
  <si>
    <t>TRN-89AK515GG010KCF3HF0B6B2GI5F0GJ6H</t>
  </si>
  <si>
    <t>2026-01-15T11:38:36.739Z</t>
  </si>
  <si>
    <t>TRN-K78F5D205K9EFJB49580230AH01D5617</t>
  </si>
  <si>
    <t>2026-01-15T03:35:44.455Z</t>
  </si>
  <si>
    <t>TRN-6A7I2H9H7AG91C91HEB663A2BGKJGDK8</t>
  </si>
  <si>
    <t>2026-01-15T03:32:53.040Z</t>
  </si>
  <si>
    <t>TRN-1CA866CCHID531H8I5A144KA2J94A543</t>
  </si>
  <si>
    <t>2026-01-15T03:26:08.018Z</t>
  </si>
  <si>
    <t>TRN-DE3A08A5DH6K39JEDIAD8EAKDC233854</t>
  </si>
  <si>
    <t>2026-01-15T03:26:08.012Z</t>
  </si>
  <si>
    <t>TST-01/15/2026_2203</t>
  </si>
  <si>
    <t>BFS Settlement 1/14/2026</t>
  </si>
  <si>
    <t>2026-01-15T01:00:04.536Z</t>
  </si>
  <si>
    <t>vCyOUN99UUVGALNdCEtS5</t>
  </si>
  <si>
    <t>2026-01-14T21:17:23.820Z</t>
  </si>
  <si>
    <t>TRN-KCAB6GE1184AA83IE7JJ9GHIBBFC1HJD</t>
  </si>
  <si>
    <t>2026-01-14T04:18:51.243Z</t>
  </si>
  <si>
    <t>TRN-8502J45F077KE9EJFKJ52DHK5F1J71HG</t>
  </si>
  <si>
    <t>2026-01-14T04:13:32.737Z</t>
  </si>
  <si>
    <t>TRN-A569HCJ035BAJ63BB064HFJDE130FEC2</t>
  </si>
  <si>
    <t>2026-01-14T04:13:32.732Z</t>
  </si>
  <si>
    <t>TST-01/14/2026_2203</t>
  </si>
  <si>
    <t>BFS Settlement 1/13/2026</t>
  </si>
  <si>
    <t>2026-01-14T01:00:04.145Z</t>
  </si>
  <si>
    <t>eM0qARIJU_5ef07utEmgc</t>
  </si>
  <si>
    <t>2026-01-13T22:00:49.616Z</t>
  </si>
  <si>
    <t>TRN-9K19K16HF0FJ8EDI3294AG9EEAGG0E3I</t>
  </si>
  <si>
    <t>2026-01-13T05:01:33.221Z</t>
  </si>
  <si>
    <t>TRN-995H7D284GJH3D1A909BG6IFF7EG4HJ9</t>
  </si>
  <si>
    <t>2026-01-13T04:58:20.111Z</t>
  </si>
  <si>
    <t>TRN-7G4BK4H4I711K7ADAH1467511G4G1703</t>
  </si>
  <si>
    <t>2026-01-13T04:58:20.106Z</t>
  </si>
  <si>
    <t>TST-01/13/2026_2203</t>
  </si>
  <si>
    <t>BFS Settlement 1/12/2026</t>
  </si>
  <si>
    <t>2026-01-13T01:00:03.741Z</t>
  </si>
  <si>
    <t>17XmaFCWW45SSPAHVO33-</t>
  </si>
  <si>
    <t>2026-01-12T22:30:02.691Z</t>
  </si>
  <si>
    <t>TRN-CH7133702I2I50272CK40A004HIAFHCH</t>
  </si>
  <si>
    <t>2026-01-12T04:41:43.213Z</t>
  </si>
  <si>
    <t>TRN-9394G6I7B47BFKAJD8788CB8J84JJHJ7</t>
  </si>
  <si>
    <t>2026-01-12T04:39:13.937Z</t>
  </si>
  <si>
    <t>TRN-J357EK7321AA42D8B1A8H64A0CDK630K</t>
  </si>
  <si>
    <t>2026-01-12T04:39:13.932Z</t>
  </si>
  <si>
    <t>TST-01/12/2026_2203</t>
  </si>
  <si>
    <t>BFS Settlement 1/11/2026</t>
  </si>
  <si>
    <t>2026-01-12T01:00:02.733Z</t>
  </si>
  <si>
    <t>4XJcT9bH2gVXHr71pHSH0</t>
  </si>
  <si>
    <t>2026-01-11T22:08:11.768Z</t>
  </si>
  <si>
    <t>TRN-939AGA4BI3FD8A82IJ7D12KCC0C7BBB9</t>
  </si>
  <si>
    <t>2026-01-11T04:50:49.752Z</t>
  </si>
  <si>
    <t>TRN-0BACC53AH2DDF5J7CH35H03KC64069H8</t>
  </si>
  <si>
    <t>2026-01-11T04:48:35.435Z</t>
  </si>
  <si>
    <t>TRN-F865BJ0EC14KA4EJI24EG725CHG03DHF</t>
  </si>
  <si>
    <t>2026-01-11T04:48:35.430Z</t>
  </si>
  <si>
    <t>TST-01/11/2026_2203</t>
  </si>
  <si>
    <t>BFS Settlement 1/10/2026</t>
  </si>
  <si>
    <t>2026-01-11T01:00:02.288Z</t>
  </si>
  <si>
    <t>znxbuhP4jtJAOON29CIVK</t>
  </si>
  <si>
    <t>2026-01-10T20:30:34.314Z</t>
  </si>
  <si>
    <t>TRN-80B975KACCA67FE605C7173J2G37BFCK</t>
  </si>
  <si>
    <t>2026-01-10T05:27:06.693Z</t>
  </si>
  <si>
    <t>TRN-FJ0B624GHK00GC985B7J4987FEH9K2EF</t>
  </si>
  <si>
    <t>2026-01-10T05:24:26.223Z</t>
  </si>
  <si>
    <t>TRN-E8FJ3I4EBKF8K7KEAJE1F2EK33H9536D</t>
  </si>
  <si>
    <t>2026-01-10T05:24:26.219Z</t>
  </si>
  <si>
    <t>TST-01/10/2026_2203</t>
  </si>
  <si>
    <t>BFS Settlement 1/9/2026</t>
  </si>
  <si>
    <t>2026-01-10T01:00:05.321Z</t>
  </si>
  <si>
    <t>jOkcjFLr8PAHXL23HeWcA</t>
  </si>
  <si>
    <t>2026-01-09T22:09:27.012Z</t>
  </si>
  <si>
    <t>TRN-BBG550CIHAK34G5A1AC0234HADK37E69</t>
  </si>
  <si>
    <t>2026-01-09T05:40:59.788Z</t>
  </si>
  <si>
    <t>TRN-6K6GJE22224JHAB06267DJH3CIH6K55J</t>
  </si>
  <si>
    <t>2026-01-09T05:37:07.314Z</t>
  </si>
  <si>
    <t>TRN-H9043E8DBE45KAEGG0GA0BB5H61B2GBC</t>
  </si>
  <si>
    <t>2026-01-09T05:37:07.309Z</t>
  </si>
  <si>
    <t>TST-01/09/2026_2203</t>
  </si>
  <si>
    <t>BFS Settlement 1/8/2026</t>
  </si>
  <si>
    <t>2026-01-09T01:00:05.670Z</t>
  </si>
  <si>
    <t>QukRD6PF4ifq410pLYEJg</t>
  </si>
  <si>
    <t>2026-01-08T22:02:11.580Z</t>
  </si>
  <si>
    <t>TRN-KKFCACD83I48816ICG2IH4C3BCHDF13J</t>
  </si>
  <si>
    <t>2026-01-08T05:17:52.171Z</t>
  </si>
  <si>
    <t>TRN-GC9J2BBIHEI1HDCCH1KG4AB7G1K5392D</t>
  </si>
  <si>
    <t>2026-01-08T05:15:21.373Z</t>
  </si>
  <si>
    <t>TRN-D641KIKD8A62538D70673IG056487C4D</t>
  </si>
  <si>
    <t>2026-01-08T05:15:21.368Z</t>
  </si>
  <si>
    <t>TST-01/08/2026_2203</t>
  </si>
  <si>
    <t>BFS Settlement 1/7/2026</t>
  </si>
  <si>
    <t>2026-01-08T01:00:05.971Z</t>
  </si>
  <si>
    <t>L4JMKZ2IMpA4yFVUuf_il</t>
  </si>
  <si>
    <t>2026-01-07T22:34:34.898Z</t>
  </si>
  <si>
    <t>TRN-AJ310AEDIFK1C3730B079F56CJC3675D</t>
  </si>
  <si>
    <t>2026-01-07T04:55:58.932Z</t>
  </si>
  <si>
    <t>TRN-E2II0IH398I838F877I29II768FK5EE1</t>
  </si>
  <si>
    <t>2026-01-07T04:53:35.981Z</t>
  </si>
  <si>
    <t>TRN-5A01B44J1CJFF1CC0KF2DA686DE1733A</t>
  </si>
  <si>
    <t>2026-01-07T04:53:35.976Z</t>
  </si>
  <si>
    <t>TST-01/07/2026_2203</t>
  </si>
  <si>
    <t>BFS Settlement 1/6/2026</t>
  </si>
  <si>
    <t>2026-01-07T01:00:05.649Z</t>
  </si>
  <si>
    <t>wXVt8SQZOf7Fo1tMtnVZO</t>
  </si>
  <si>
    <t>2026-01-06T21:52:15.741Z</t>
  </si>
  <si>
    <t>TRN-0BHF4AE9I38J5D6KHC3A7IJ145D67I21</t>
  </si>
  <si>
    <t>2026-01-06T20:35:41.838Z</t>
  </si>
  <si>
    <t>TRN-CK577CC4F4412BDI8D7AI733G1FKEB6J</t>
  </si>
  <si>
    <t>2026-01-06T05:07:14.051Z</t>
  </si>
  <si>
    <t>TRN-HD8BK5GH82583IG56AE5B02DCGAF4JEA</t>
  </si>
  <si>
    <t>2026-01-06T05:04:34.499Z</t>
  </si>
  <si>
    <t>TRN-EA3DJC2BKE99C9J04AK7F3J9EE5838BK</t>
  </si>
  <si>
    <t>2026-01-06T05:04:34.494Z</t>
  </si>
  <si>
    <t>TST-01/06/2026_2203</t>
  </si>
  <si>
    <t>BFS Settlement 1/5/2026</t>
  </si>
  <si>
    <t>2026-01-06T01:00:05.934Z</t>
  </si>
  <si>
    <t>JC5n6uMXktLrO9j1qHytn</t>
  </si>
  <si>
    <t>2026-01-05T22:21:19.202Z</t>
  </si>
  <si>
    <t>TRN-CIDAA774A2I9G900C497H2HE9G3IIFA2</t>
  </si>
  <si>
    <t>2026-01-05T04:47:38.606Z</t>
  </si>
  <si>
    <t>TRN-0DEED51JK6FE876IID81I7GE2F42JHGA</t>
  </si>
  <si>
    <t>2026-01-05T04:41:11.720Z</t>
  </si>
  <si>
    <t>TRN-5439EE117J2D04B650221FDA100I33DD</t>
  </si>
  <si>
    <t>2026-01-05T04:41:11.714Z</t>
  </si>
  <si>
    <t>TST-01/05/2026_2203</t>
  </si>
  <si>
    <t>BFS Settlement 1/4/2026</t>
  </si>
  <si>
    <t>2026-01-05T01:00:03.787Z</t>
  </si>
  <si>
    <t>_h-_NzCzGw4eGeKtOH7DQ</t>
  </si>
  <si>
    <t>2026-01-04T21:07:33.688Z</t>
  </si>
  <si>
    <t>TRN-1I1AA1J1FH2CH2523FH0564IH61G8C24</t>
  </si>
  <si>
    <t>2026-01-04T05:13:07.100Z</t>
  </si>
  <si>
    <t>TRN-JC8B4E7FE77D6CB9DH10ICKJ3779AI21</t>
  </si>
  <si>
    <t>2026-01-04T05:10:08.522Z</t>
  </si>
  <si>
    <t>TRN-AI31KEEHBJ9799D189G881J1E0BKFE01</t>
  </si>
  <si>
    <t>2026-01-04T05:10:08.516Z</t>
  </si>
  <si>
    <t>TST-01/04/2026_2203</t>
  </si>
  <si>
    <t>BFS Settlement 1/3/2026</t>
  </si>
  <si>
    <t>2026-01-04T01:00:04.530Z</t>
  </si>
  <si>
    <t>YFFySmevz0Vf6vUhm8Ws_</t>
  </si>
  <si>
    <t>2026-01-03T22:09:06.644Z</t>
  </si>
  <si>
    <t>TRN-H8E56EF6A568JBJBGJ2HE7E3DF6652HE</t>
  </si>
  <si>
    <t>2026-01-03T05:13:29.455Z</t>
  </si>
  <si>
    <t>TRN-D5I75DGFDD2BI1811A71I1I2JA0K40EE</t>
  </si>
  <si>
    <t>2026-01-03T05:12:02.990Z</t>
  </si>
  <si>
    <t>TRN-CIBBJA443B8D50BF05KJE3KC7II949HA</t>
  </si>
  <si>
    <t>2026-01-03T05:12:02.986Z</t>
  </si>
  <si>
    <t>TST-01/03/2026_2203</t>
  </si>
  <si>
    <t>BFS Settlement 1/2/2026</t>
  </si>
  <si>
    <t>2026-01-03T01:00:05.115Z</t>
  </si>
  <si>
    <t>EaEuI1xxLsbr1IaeF-Iq3</t>
  </si>
  <si>
    <t>2026-01-02T21:38:11.107Z</t>
  </si>
  <si>
    <t>TRN-ID9E0CB57I65JD771DC7H491GIBHH1FK</t>
  </si>
  <si>
    <t>2026-01-02T04:09:31.208Z</t>
  </si>
  <si>
    <t>TRN-A75BBG18F28KK1238IJGJE16GIHJ128E</t>
  </si>
  <si>
    <t>2026-01-02T04:05:49.587Z</t>
  </si>
  <si>
    <t>TRN-1K5K3H9H4FCKH4BKBI1480J0A809HK7J</t>
  </si>
  <si>
    <t>2026-01-02T04:05:49.581Z</t>
  </si>
  <si>
    <t>TST-01/02/2026_2203</t>
  </si>
  <si>
    <t>BFS Settlement 1/1/2026</t>
  </si>
  <si>
    <t>2026-01-02T01:00:03.831Z</t>
  </si>
  <si>
    <t>wbxhjR2CkNJUusXGq54hb</t>
  </si>
  <si>
    <t>2026-01-01T20:42:41.381Z</t>
  </si>
  <si>
    <t>TRN-H3G670D16BCG2CIBH4IF8C0JD6ED0F91</t>
  </si>
  <si>
    <t>2026-01-01T05:03:55.567Z</t>
  </si>
  <si>
    <t>TRN-1JD5FGDGC62IJD0K05AEJ78BCDB2GEIG</t>
  </si>
  <si>
    <t>2026-01-01T04:58:15.440Z</t>
  </si>
  <si>
    <t>TRN-82GEI7AKG04KBCGHAI49HADH1EEECECH</t>
  </si>
  <si>
    <t>2026-01-01T04:58:15.435Z</t>
  </si>
  <si>
    <t>TST-01/01/2026_2203</t>
  </si>
  <si>
    <t>BFS Settlement 12/31/2025</t>
  </si>
  <si>
    <t>2026-01-01T01:00:05.791Z</t>
  </si>
  <si>
    <t>vGx4rjjHP0BW16Eduy1We</t>
  </si>
  <si>
    <t>2025-12-31T20:12:12.509Z</t>
  </si>
  <si>
    <t>TRN-8KB7C22H02F998F9JBFI01IC70HA9A3J</t>
  </si>
  <si>
    <t>2025-12-31T04:24:19.679Z</t>
  </si>
  <si>
    <t>TRN-9B11J0HCJA47KG1FF6D750J3GJ9DE13G</t>
  </si>
  <si>
    <t>2025-12-31T04:21:07.860Z</t>
  </si>
  <si>
    <t>TRN-FGBC09JICA391EHA394A32FJC0EFCDK9</t>
  </si>
  <si>
    <t>2025-12-31T04:21:07.855Z</t>
  </si>
  <si>
    <t>TST-12/31/2025_2203</t>
  </si>
  <si>
    <t>BFS Settlement 12/30/2025</t>
  </si>
  <si>
    <t>2025-12-31T01:00:06.715Z</t>
  </si>
  <si>
    <t>LZAUBzdcyXNnVs-semDFV</t>
  </si>
  <si>
    <t>2025-12-30T20:40:05.599Z</t>
  </si>
  <si>
    <t>TRN-F0IF34IGHB161H7H4A9BIBBCIICAK9AB</t>
  </si>
  <si>
    <t>2025-12-30T03:43:32.898Z</t>
  </si>
  <si>
    <t>TRN-B16K38HGJC0AB3B9F14BB15IHFI5IC85</t>
  </si>
  <si>
    <t>2025-12-30T03:40:44.921Z</t>
  </si>
  <si>
    <t>TRN-JJ3E7D7K82AHCE9JH3J2B6FB1BGJ2JFH</t>
  </si>
  <si>
    <t>2025-12-30T03:40:44.915Z</t>
  </si>
  <si>
    <t>TST-12/30/2025_2203</t>
  </si>
  <si>
    <t>BFS Settlement 12/29/2025</t>
  </si>
  <si>
    <t>2025-12-30T01:00:05.736Z</t>
  </si>
  <si>
    <t>XXMWj-qucyqL_JaWzQYqf</t>
  </si>
  <si>
    <t>2025-12-29T22:01:32.653Z</t>
  </si>
  <si>
    <t>TRN-E66B302GI5AB080E967JH9HKEICDECFH</t>
  </si>
  <si>
    <t>2025-12-29T04:27:58.801Z</t>
  </si>
  <si>
    <t>TRN-1CA4GG7G7KH9J8H2751BEI0AG53GB187</t>
  </si>
  <si>
    <t>2025-12-29T04:25:10.984Z</t>
  </si>
  <si>
    <t>TRN-I0II6266D0G01GB6JBG8974IC36DHEKD</t>
  </si>
  <si>
    <t>2025-12-29T04:25:10.979Z</t>
  </si>
  <si>
    <t>TST-12/29/2025_2203</t>
  </si>
  <si>
    <t>BFS Settlement 12/28/2025</t>
  </si>
  <si>
    <t>2025-12-29T01:00:04.579Z</t>
  </si>
  <si>
    <t>QhlC9UQRmlnVYJzrztaW-</t>
  </si>
  <si>
    <t>2025-12-28T20:41:42.767Z</t>
  </si>
  <si>
    <t>TRN-6JFDF187AE77F71H4AC3369BK2E0JA13</t>
  </si>
  <si>
    <t>2025-12-28T05:20:58.603Z</t>
  </si>
  <si>
    <t>TRN-89CF5IG68BAJF89AKA0JG0035BJ1EKFI</t>
  </si>
  <si>
    <t>2025-12-28T05:18:24.106Z</t>
  </si>
  <si>
    <t>TRN-FHD3DAD6FE013BHFIHDEFIKK0I6K5K9E</t>
  </si>
  <si>
    <t>2025-12-28T05:18:24.100Z</t>
  </si>
  <si>
    <t>TST-12/28/2025_2203</t>
  </si>
  <si>
    <t>BFS Settlement 12/27/2025</t>
  </si>
  <si>
    <t>2025-12-28T01:00:09.428Z</t>
  </si>
  <si>
    <t>cN-rgdBLgl76rLpi7hco2</t>
  </si>
  <si>
    <t>2025-12-27T21:38:53.870Z</t>
  </si>
  <si>
    <t>rxWUrVxR_kJ4Xdoa5Y3LK</t>
  </si>
  <si>
    <t>2025-12-27T21:37:19.281Z</t>
  </si>
  <si>
    <t>TRN-EJK4D027H2852B6A863C38IJ8AJ7FBE3</t>
  </si>
  <si>
    <t>2025-12-26T05:28:18.768Z</t>
  </si>
  <si>
    <t>TRN-151H5GJ643KFAJEE275B664K0844D1GD</t>
  </si>
  <si>
    <t>2025-12-26T05:25:33.042Z</t>
  </si>
  <si>
    <t>TRN-KEA29217J226AE8A9H5FABJ81A2A6JGI</t>
  </si>
  <si>
    <t>2025-12-26T05:25:33.036Z</t>
  </si>
  <si>
    <t>TST-12/26/2025_2203</t>
  </si>
  <si>
    <t>BFS Settlement 12/25/2025</t>
  </si>
  <si>
    <t>2025-12-26T01:00:04.973Z</t>
  </si>
  <si>
    <t>BGL5-E2KHAR2XqyxA4Z4l</t>
  </si>
  <si>
    <t>2025-12-25T21:43:13.509Z</t>
  </si>
  <si>
    <t>TRN-FJCEHJF2C0KG8677J09CE9J8IJB75GDE</t>
  </si>
  <si>
    <t>2025-12-25T04:56:14.626Z</t>
  </si>
  <si>
    <t>TRN-4AH8KA5EAB5CBHG38H3KJF8A85F2H5K3</t>
  </si>
  <si>
    <t>2025-12-25T04:52:04.879Z</t>
  </si>
  <si>
    <t>TRN-70320J46EH70ACC47EFB6HG5F9628EH9</t>
  </si>
  <si>
    <t>2025-12-25T04:52:04.874Z</t>
  </si>
  <si>
    <t>TST-12/25/2025_2203</t>
  </si>
  <si>
    <t>BFS Settlement 12/24/2025</t>
  </si>
  <si>
    <t>2025-12-25T01:00:05.718Z</t>
  </si>
  <si>
    <t>Znko7XQfXzMPgQKtkhY1P</t>
  </si>
  <si>
    <t>2025-12-24T21:21:00.614Z</t>
  </si>
  <si>
    <t>TRN-DKFAI876BJ9DAB4HIG69A37569335B47</t>
  </si>
  <si>
    <t>2025-12-24T04:51:50.143Z</t>
  </si>
  <si>
    <t>TRN-8J40101D8EJA27KGBG9E41BIA33J7FK3</t>
  </si>
  <si>
    <t>2025-12-24T04:48:52.642Z</t>
  </si>
  <si>
    <t>TRN-G24G1JII5GK7JFAF5C7BC4H02DK72EA1</t>
  </si>
  <si>
    <t>2025-12-24T04:48:52.637Z</t>
  </si>
  <si>
    <t>TST-12/24/2025_2203</t>
  </si>
  <si>
    <t>BFS Settlement 12/23/2025</t>
  </si>
  <si>
    <t>2025-12-24T01:00:12.753Z</t>
  </si>
  <si>
    <t>iycJgOBsH63gjx_jUmE2u</t>
  </si>
  <si>
    <t>2025-12-23T21:40:30.465Z</t>
  </si>
  <si>
    <t>TRN-92JF27B137JKD6JIGDE00EB42G833421</t>
  </si>
  <si>
    <t>2025-12-23T05:01:28.898Z</t>
  </si>
  <si>
    <t>TRN-4G0B0K5H5FG705FK321KD92CF3BBBADI</t>
  </si>
  <si>
    <t>2025-12-23T04:59:02.001Z</t>
  </si>
  <si>
    <t>TRN-J6H113G495EAKKH91H2BA6263D4IDA79</t>
  </si>
  <si>
    <t>2025-12-23T04:59:01.995Z</t>
  </si>
  <si>
    <t>TST-12/23/2025_2203</t>
  </si>
  <si>
    <t>BFS Settlement 12/22/2025</t>
  </si>
  <si>
    <t>2025-12-23T01:00:05.678Z</t>
  </si>
  <si>
    <t>c2YoLXSHRkKoamAXxCtDP</t>
  </si>
  <si>
    <t>2025-12-22T21:01:50.976Z</t>
  </si>
  <si>
    <t>TRN-FI36A2I8683C2582GDB7AEB5BF208HAI</t>
  </si>
  <si>
    <t>2025-12-22T04:53:50.365Z</t>
  </si>
  <si>
    <t>TRN-4KIDJ0BAI710DBH1411990KKFH3G52IB</t>
  </si>
  <si>
    <t>2025-12-22T04:52:11.632Z</t>
  </si>
  <si>
    <t>TRN-D46DGBEA890D4084KAGBH4FBK8JC41BF</t>
  </si>
  <si>
    <t>2025-12-22T04:52:11.627Z</t>
  </si>
  <si>
    <t>TST-12/22/2025_2203</t>
  </si>
  <si>
    <t>BFS Settlement 12/21/2025</t>
  </si>
  <si>
    <t>2025-12-22T01:00:03.659Z</t>
  </si>
  <si>
    <t>YD3jxhUvq5dOWDgIEhGz_</t>
  </si>
  <si>
    <t>2025-12-21T06:44:39.134Z</t>
  </si>
  <si>
    <t>ZQQgAaGFhh8hnBMgcLwDw</t>
  </si>
  <si>
    <t>2025-12-21T06:43:34.230Z</t>
  </si>
  <si>
    <t>TRN-F4KA2IKIKBEKAAGD202GEHD75HA1GJI9</t>
  </si>
  <si>
    <t>2025-12-16T17:53:11.280Z</t>
  </si>
  <si>
    <t>TRN-EC7DGIFG885D738E6157BGI9FB3391J8</t>
  </si>
  <si>
    <t>2025-12-15T05:04:26.561Z</t>
  </si>
  <si>
    <t>TRN-122E8I73HK61JDH860G8DAG30211FB98</t>
  </si>
  <si>
    <t>2025-12-15T05:01:49.897Z</t>
  </si>
  <si>
    <t>TRN-992DAID383C57K02BCEH07FIF67125D5</t>
  </si>
  <si>
    <t>2025-12-15T04:58:41.532Z</t>
  </si>
  <si>
    <t>TRN-C8I4BBFA10264K37JJEKC74CB340JDD6</t>
  </si>
  <si>
    <t>2025-12-15T04:58:41.525Z</t>
  </si>
  <si>
    <t>TST-12/15/2025_2203</t>
  </si>
  <si>
    <t>BFS Settlement 12/14/2025</t>
  </si>
  <si>
    <t>2025-12-15T01:00:10.613Z</t>
  </si>
  <si>
    <t>cDTOUZ7qsLeD-3ggZZw5f</t>
  </si>
  <si>
    <t>2025-12-14T21:47:26.551Z</t>
  </si>
  <si>
    <t>TRN-C4I5GK095BKDCIIFG1A1D6I1A6B8G6JH</t>
  </si>
  <si>
    <t>2025-12-14T05:09:41.990Z</t>
  </si>
  <si>
    <t>TRN-C0CCI7GF2AACH80K1630J998FC8F06H2</t>
  </si>
  <si>
    <t>2025-12-14T05:08:01.404Z</t>
  </si>
  <si>
    <t>TRN-95357C5G5B3CAABKD88I1F9I7709G4FI</t>
  </si>
  <si>
    <t>2025-12-14T05:05:23.427Z</t>
  </si>
  <si>
    <t>TRN-H7J5IE7EA5DI6C10EF8A921KAJ7572A8</t>
  </si>
  <si>
    <t>2025-12-14T05:05:23.423Z</t>
  </si>
  <si>
    <t>TST-12/14/2025_2203</t>
  </si>
  <si>
    <t>BFS Settlement 12/13/2025</t>
  </si>
  <si>
    <t>2025-12-14T01:00:08.534Z</t>
  </si>
  <si>
    <t>NwVUFdycYkoOCtQuOPVtc</t>
  </si>
  <si>
    <t>2025-12-13T22:46:51.227Z</t>
  </si>
  <si>
    <t>TRN-GDJ3E082D78352H8HA9885196AHDFDDB</t>
  </si>
  <si>
    <t>2025-12-13T03:20:58.126Z</t>
  </si>
  <si>
    <t>TRN-BHGBC59E605785F979IGK37KK408860F</t>
  </si>
  <si>
    <t>2025-12-13T03:16:01.855Z</t>
  </si>
  <si>
    <t>TRN-1269G2AB573GIB4HK99FFIAC9EJ29BJ9</t>
  </si>
  <si>
    <t>2025-12-13T03:16:01.836Z</t>
  </si>
  <si>
    <t>TST-12/13/2025_2203</t>
  </si>
  <si>
    <t>BFS Settlement 12/12/2025</t>
  </si>
  <si>
    <t>2025-12-13T01:00:07.583Z</t>
  </si>
  <si>
    <t>wzm9VQVdjgqbAWSPtp2xo</t>
  </si>
  <si>
    <t>2025-12-12T21:31:17.462Z</t>
  </si>
  <si>
    <t>WZw4Yih4tOO4GhYYssiK5</t>
  </si>
  <si>
    <t>2025-12-12T21:30:01.588Z</t>
  </si>
  <si>
    <t>TRN-D49JI8F73JKE307CFF7F3GE68JBKG3A8</t>
  </si>
  <si>
    <t>2025-12-12T04:34:27.118Z</t>
  </si>
  <si>
    <t>TRN-AH54J4F483113528915EK7HB013584G3</t>
  </si>
  <si>
    <t>2025-12-12T04:31:44.248Z</t>
  </si>
  <si>
    <t>TRN-EEEG9EFKJ12B97GB2KI8C0D905K0DDID</t>
  </si>
  <si>
    <t>2025-12-12T04:31:44.241Z</t>
  </si>
  <si>
    <t>TST-12/12/2025_2203</t>
  </si>
  <si>
    <t>BFS Settlement 12/11/2025</t>
  </si>
  <si>
    <t>2025-12-12T01:00:08.076Z</t>
  </si>
  <si>
    <t>PNQDUQ6cudwa9SGmEe-XW</t>
  </si>
  <si>
    <t>2025-12-11T21:08:43.224Z</t>
  </si>
  <si>
    <t>TRN-GAB52H5IKE3C158DJ4AG108IK6GA0KC6</t>
  </si>
  <si>
    <t>2025-12-10T05:29:26.478Z</t>
  </si>
  <si>
    <t>TRN-HD6E64A16A3G3K30J1700CHADDD4E6I4</t>
  </si>
  <si>
    <t>2025-12-10T05:26:22.408Z</t>
  </si>
  <si>
    <t>TRN-BI61IB847BAC7C1821K02JD0JEI2F33H</t>
  </si>
  <si>
    <t>2025-12-10T05:26:22.324Z</t>
  </si>
  <si>
    <t>TST-12/10/2025_2203</t>
  </si>
  <si>
    <t>BFS Settlement 12/9/2025</t>
  </si>
  <si>
    <t>2025-12-10T01:00:06.938Z</t>
  </si>
  <si>
    <t>WUgmCpkNKm_bQiuKHnHFJ</t>
  </si>
  <si>
    <t>2025-12-09T21:01:01.960Z</t>
  </si>
  <si>
    <t>TRN-4D40ICJ9BB66I5F8H77I4I1CB89CC8DC</t>
  </si>
  <si>
    <t>2025-12-09T07:56:07.833Z</t>
  </si>
  <si>
    <t>TRN-KB45D8FC73G17624DIAI6KF85IA925BF</t>
  </si>
  <si>
    <t>2025-12-09T07:51:37.138Z</t>
  </si>
  <si>
    <t>TRN-G24DE62C2K1D3KC56EA212BHCEB7538K</t>
  </si>
  <si>
    <t>2025-12-09T07:51:37.134Z</t>
  </si>
  <si>
    <t>TST-12/09/2025_2203</t>
  </si>
  <si>
    <t>BFS Settlement 12/8/2025</t>
  </si>
  <si>
    <t>2025-12-09T07:16:53.493Z</t>
  </si>
  <si>
    <t>0HRBHqWrtA32myglnsAX3</t>
  </si>
  <si>
    <t>2025-12-08T22:03:52.903Z</t>
  </si>
  <si>
    <t>TRN-H12F6FA4I939AIC3E571KCG8G4E2FC1I</t>
  </si>
  <si>
    <t>2025-12-08T09:33:05.107Z</t>
  </si>
  <si>
    <t>TRN-ED6JKIJIKD4KEGB956HF55HIC2GG5H08</t>
  </si>
  <si>
    <t>2025-12-08T09:28:38.419Z</t>
  </si>
  <si>
    <t>TRN-5C981FK9ACFJ8H928398AI118H8189K2</t>
  </si>
  <si>
    <t>2025-12-08T09:28:38.393Z</t>
  </si>
  <si>
    <t>TST-12/06/2025_2203</t>
  </si>
  <si>
    <t>BFS Settlement 12/5/2025</t>
  </si>
  <si>
    <t>2025-12-06T01:00:25.575Z</t>
  </si>
  <si>
    <t>BUk48MfmweCwd0mPRj3gQ</t>
  </si>
  <si>
    <t>2025-12-05T22:11:02.389Z</t>
  </si>
  <si>
    <t>Nc6kJA9ZglvvAT1M9AGt8</t>
  </si>
  <si>
    <t>2025-12-05T22:09:31.145Z</t>
  </si>
  <si>
    <t>ERJZcGq1HNXeZYWhY_t4z</t>
  </si>
  <si>
    <t>2025-12-05T22:08:20.232Z</t>
  </si>
  <si>
    <t>TRN-1C7IKA369KEGJ9I869603JHHG1853HHJ</t>
  </si>
  <si>
    <t>2025-12-05T03:11:21.971Z</t>
  </si>
  <si>
    <t>TRN-K3I4433G0CCEG6I88FD7B3KJ1K1A0DBE</t>
  </si>
  <si>
    <t>2025-12-05T03:08:15.390Z</t>
  </si>
  <si>
    <t>TRN-63F6A0DG910306E260J33KH80DK30FK7</t>
  </si>
  <si>
    <t>2025-12-05T03:08:15.384Z</t>
  </si>
  <si>
    <t>TST-12/05/2025_2203</t>
  </si>
  <si>
    <t>BFS Settlement 12/4/2025</t>
  </si>
  <si>
    <t>2025-12-05T01:00:08.407Z</t>
  </si>
  <si>
    <t>xSVzGOZpg2eeaBJ2rY80r</t>
  </si>
  <si>
    <t>2025-12-04T21:15:38.204Z</t>
  </si>
  <si>
    <t>TRN-79IH3HHE36DDDDGAFJI263D7DG41B8I2</t>
  </si>
  <si>
    <t>2025-12-04T03:43:33.208Z</t>
  </si>
  <si>
    <t>TRN-0B5H5HDHF839K56CIEI4GFEI3I5DJJG2</t>
  </si>
  <si>
    <t>2025-12-04T03:40:09.876Z</t>
  </si>
  <si>
    <t>TRN-85C08DHIHAH5FFDAIAGKGCAE21D7GDII</t>
  </si>
  <si>
    <t>2025-12-04T03:40:09.870Z</t>
  </si>
  <si>
    <t>TST-12/04/2025_2203</t>
  </si>
  <si>
    <t>BFS Settlement 12/3/2025</t>
  </si>
  <si>
    <t>2025-12-04T01:00:14.351Z</t>
  </si>
  <si>
    <t>f-tF17MFTxgA4BNforCfx</t>
  </si>
  <si>
    <t>2025-12-03T21:14:45.850Z</t>
  </si>
  <si>
    <t>TRN-A3C4CEHB7KIE4F177C66GJG7I8H0AAE4</t>
  </si>
  <si>
    <t>2025-12-03T05:33:52.441Z</t>
  </si>
  <si>
    <t>TRN-CBEFDCFGC4AH9H4094GGEDB5EK3610E5</t>
  </si>
  <si>
    <t>2025-12-03T05:30:29.852Z</t>
  </si>
  <si>
    <t>TRN-782AG3E7960E0JK8KB6K197K56ICDCCH</t>
  </si>
  <si>
    <t>2025-12-03T05:30:29.848Z</t>
  </si>
  <si>
    <t>TST-12/03/2025_2203</t>
  </si>
  <si>
    <t>BFS Settlement 12/2/2025</t>
  </si>
  <si>
    <t>2025-12-03T01:00:09.078Z</t>
  </si>
  <si>
    <t>2025-12-02T21:42:53.770Z</t>
  </si>
  <si>
    <t>SIiOaxo2LlIPQOdNXgX1L</t>
  </si>
  <si>
    <t>2025-12-02T21:27:49.588Z</t>
  </si>
  <si>
    <t>TRN-FI1CHDBFJDH0J0CEF5D6EKDFA1G9AGC5</t>
  </si>
  <si>
    <t>2025-12-02T04:37:16.645Z</t>
  </si>
  <si>
    <t>TRN-CCA55D96FHI1C76936GE0K5BI5503EH6</t>
  </si>
  <si>
    <t>2025-12-02T04:34:01.208Z</t>
  </si>
  <si>
    <t>TRN-0IABIE7IF8K1B39K0AFJIHF727AKHJJ0</t>
  </si>
  <si>
    <t>2025-12-02T04:34:01.202Z</t>
  </si>
  <si>
    <t>TST-12/02/2025_2203</t>
  </si>
  <si>
    <t>BFS Settlement 12/1/2025</t>
  </si>
  <si>
    <t>2025-12-02T01:00:09.155Z</t>
  </si>
  <si>
    <t>iCrx5evWwXo0aCBGfxyQW</t>
  </si>
  <si>
    <t>2025-12-01T22:46:47.796Z</t>
  </si>
  <si>
    <t>c3nTxycxn0BEpH1i2I4GR</t>
  </si>
  <si>
    <t>2025-12-01T20:57:25.545Z</t>
  </si>
  <si>
    <t>TRN-HJB7EFIG4GJ5K4A59BE4GK2FDKK583ID</t>
  </si>
  <si>
    <t>2025-11-30T05:04:29.877Z</t>
  </si>
  <si>
    <t>TRN-DAI7FKHK234AA30C885I7J772EC4A12I</t>
  </si>
  <si>
    <t>2025-11-30T05:00:57.511Z</t>
  </si>
  <si>
    <t>TRN-4G5919G1CKI6DIIK13E2CGFDADC6KD1K</t>
  </si>
  <si>
    <t>2025-11-30T05:00:57.505Z</t>
  </si>
  <si>
    <t>TST-11/30/2025_2203</t>
  </si>
  <si>
    <t>BFS Settlement 11/29/2025</t>
  </si>
  <si>
    <t>2025-11-30T01:00:06.773Z</t>
  </si>
  <si>
    <t>LcTopHnhzqA7ZjijsY7sa</t>
  </si>
  <si>
    <t>2025-11-29T19:45:47.815Z</t>
  </si>
  <si>
    <t>4-ifUeH5NpW8-xkbFTzC0</t>
  </si>
  <si>
    <t>2025-11-29T19:43:55.316Z</t>
  </si>
  <si>
    <t>sKNw62LpWfXiU6AtAltxt</t>
  </si>
  <si>
    <t>2025-11-29T19:41:39.175Z</t>
  </si>
  <si>
    <t>6ae-_Krx1QZr9bQNG0oey</t>
  </si>
  <si>
    <t>2025-11-29T14:59:11.571Z</t>
  </si>
  <si>
    <t>TRN-H80008K56H8EBEFC2E10EI4D6F1F9C9H</t>
  </si>
  <si>
    <t>2025-11-29T08:44:37.709Z</t>
  </si>
  <si>
    <t>TRN-5338818K3D98C70I69I85CC4150D6427</t>
  </si>
  <si>
    <t>2025-11-29T08:42:51.652Z</t>
  </si>
  <si>
    <t>TRN-73H0J72525G792G57GG69A8GAJ05C519</t>
  </si>
  <si>
    <t>2025-11-29T08:42:51.623Z</t>
  </si>
  <si>
    <t>TST-11/29/2025_2203</t>
  </si>
  <si>
    <t>BFS Settlement 11/28/2025</t>
  </si>
  <si>
    <t>2025-11-29T01:00:04.953Z</t>
  </si>
  <si>
    <t>ygMnFOs8kz2YmA2BoBTIy</t>
  </si>
  <si>
    <t>2025-11-28T22:08:59.833Z</t>
  </si>
  <si>
    <t>s3Y-M2_E9sTGfVPeEihA6</t>
  </si>
  <si>
    <t>2025-11-28T22:04:30.827Z</t>
  </si>
  <si>
    <t>7rTWfs8e32d8Q6mxpoXcx</t>
  </si>
  <si>
    <t>2025-11-28T17:43:31.911Z</t>
  </si>
  <si>
    <t>hzPH7Rnw2RV5Xv9WVT-l7</t>
  </si>
  <si>
    <t>2025-11-28T15:31:13.520Z</t>
  </si>
  <si>
    <t>TRN-40BI70CK1FID1EHF9I72928981DGCG0I</t>
  </si>
  <si>
    <t>2025-11-28T04:50:24.296Z</t>
  </si>
  <si>
    <t>TRN-EH9BGA66GE923C38JAH156JAI90C6G26</t>
  </si>
  <si>
    <t>2025-11-28T04:47:31.143Z</t>
  </si>
  <si>
    <t>TRN-J6EH14137K0K87E0C50F8D1CE9G4GEH4</t>
  </si>
  <si>
    <t>2025-11-28T04:47:31.139Z</t>
  </si>
  <si>
    <t>TST-11/28/2025_2203</t>
  </si>
  <si>
    <t>BFS Settlement 11/27/2025</t>
  </si>
  <si>
    <t>2025-11-28T01:00:05.448Z</t>
  </si>
  <si>
    <t>NqtmtlUmpvDxqiEnOoUlE</t>
  </si>
  <si>
    <t>2025-11-27T09:59:17.214Z</t>
  </si>
  <si>
    <t>TRN-DJIGE8G2KBH6C7ED9F314I3D4ACJ7G79</t>
  </si>
  <si>
    <t>2025-11-27T05:19:47.896Z</t>
  </si>
  <si>
    <t>TRN-6C48A0KGBKJ12HDJ8K21H8KH832JHID3</t>
  </si>
  <si>
    <t>2025-11-27T05:17:04.909Z</t>
  </si>
  <si>
    <t>TRN-BK44I9C14DGF502GD6I14CF67J35FGJF</t>
  </si>
  <si>
    <t>2025-11-27T05:17:04.904Z</t>
  </si>
  <si>
    <t>TST-11/27/2025_2203</t>
  </si>
  <si>
    <t>BFS Settlement 11/26/2025</t>
  </si>
  <si>
    <t>2025-11-27T01:00:05.626Z</t>
  </si>
  <si>
    <t>7VGYRu3CWK29P3a-tIJLp</t>
  </si>
  <si>
    <t>2025-11-26T21:51:46.776Z</t>
  </si>
  <si>
    <t>IJSueHve0k7iDFQZd75-G</t>
  </si>
  <si>
    <t>2025-11-26T21:50:54.192Z</t>
  </si>
  <si>
    <t>BbwOIooJBv1LiVCKiEPN7</t>
  </si>
  <si>
    <t>2025-11-26T21:50:15.365Z</t>
  </si>
  <si>
    <t>pbAa1gWIAHbjzjSTED5fY</t>
  </si>
  <si>
    <t>2025-11-26T21:49:26.868Z</t>
  </si>
  <si>
    <t>TRN-GJ0464AG41BCI1IB3FF653FK2I744HDJ</t>
  </si>
  <si>
    <t>2025-11-26T07:33:56.900Z</t>
  </si>
  <si>
    <t>TRN-3EC680K99B5FC650BF25HHI56KG51F5K</t>
  </si>
  <si>
    <t>2025-11-26T05:51:26.145Z</t>
  </si>
  <si>
    <t>TRN-A5B5HE6F73F7HB5378CHIG2JKGHKBGC9</t>
  </si>
  <si>
    <t>2025-11-26T05:51:26.132Z</t>
  </si>
  <si>
    <t>TST-11/26/2025_2203</t>
  </si>
  <si>
    <t>BFS Settlement 11/25/2025</t>
  </si>
  <si>
    <t>2025-11-26T01:00:04.261Z</t>
  </si>
  <si>
    <t>GVI3KRzz-eK151FHcW8Y0</t>
  </si>
  <si>
    <t>2025-11-25T20:49:24.629Z</t>
  </si>
  <si>
    <t>TRN-F77814J9585IB8674BD61A9F4B23669C</t>
  </si>
  <si>
    <t>2025-11-25T04:19:00.047Z</t>
  </si>
  <si>
    <t>TRN-4E39IEI0KJJI829K2JH6236D4976G6AE</t>
  </si>
  <si>
    <t>2025-11-25T04:14:54.095Z</t>
  </si>
  <si>
    <t>TRN-197CFBGD95G53HG9A64067JA0GBC1A34</t>
  </si>
  <si>
    <t>2025-11-25T04:14:54.091Z</t>
  </si>
  <si>
    <t>TST-11/25/2025_2203</t>
  </si>
  <si>
    <t>BFS Settlement 11/24/2025</t>
  </si>
  <si>
    <t>2025-11-25T01:00:04.182Z</t>
  </si>
  <si>
    <t>RWWRqcgYGPKRntMicn2mT</t>
  </si>
  <si>
    <t>2025-11-24T19:33:51.349Z</t>
  </si>
  <si>
    <t>TRN-4F100E1DG30GIC6I2335G3II221BGJ94</t>
  </si>
  <si>
    <t>2025-11-24T10:20:23.009Z</t>
  </si>
  <si>
    <t>TRN-J490D7DJ1EJ9KEHH16I062JGA5GCCK2G</t>
  </si>
  <si>
    <t>2025-11-24T09:35:42.337Z</t>
  </si>
  <si>
    <t>TRN-C6ID48JBC78G8BF594KB9J2BIGJKC7D4</t>
  </si>
  <si>
    <t>2025-11-24T09:35:42.326Z</t>
  </si>
  <si>
    <t>TST-11/24/2025_2203</t>
  </si>
  <si>
    <t>BFS Settlement 11/23/2025</t>
  </si>
  <si>
    <t>2025-11-24T01:00:05.675Z</t>
  </si>
  <si>
    <t>nqyg8noDRzYhMOCxxR2kG</t>
  </si>
  <si>
    <t>2025-11-23T17:51:35.790Z</t>
  </si>
  <si>
    <t>TRN-JKI526CA56086K3KD602I4EFC1H49C6C</t>
  </si>
  <si>
    <t>2025-11-23T13:29:52.742Z</t>
  </si>
  <si>
    <t>TRN-6EIGJ4903EJ3634JCK4JA0027I33DI18</t>
  </si>
  <si>
    <t>2025-11-23T06:25:34.708Z</t>
  </si>
  <si>
    <t>TRN-I8GAI112JD3A8JHFAFG9C8I1CI252IHB</t>
  </si>
  <si>
    <t>2025-11-23T06:25:34.704Z</t>
  </si>
  <si>
    <t>TST-11/23/2025_2203</t>
  </si>
  <si>
    <t>BFS Settlement 11/22/2025</t>
  </si>
  <si>
    <t>2025-11-23T01:00:05.895Z</t>
  </si>
  <si>
    <t>azlZ06Pkmy4KDL_NS-BVc</t>
  </si>
  <si>
    <t>2025-11-22T17:48:41.310Z</t>
  </si>
  <si>
    <t>QCRLY_tZ42NNETcEdqyo4</t>
  </si>
  <si>
    <t>2025-11-22T10:23:00.966Z</t>
  </si>
  <si>
    <t>HIb8e98HpQ-dISCIeHMAB</t>
  </si>
  <si>
    <t>2025-11-22T09:47:24.401Z</t>
  </si>
  <si>
    <t>TRN-HIKB4CF32881DCG6I66BAA2D5AH9KC9F</t>
  </si>
  <si>
    <t>2025-11-22T09:34:56.627Z</t>
  </si>
  <si>
    <t>TRN-9KGFI3K9HEE01A4EGD8I5G677JHH0BA3</t>
  </si>
  <si>
    <t>2025-11-22T09:33:51.941Z</t>
  </si>
  <si>
    <t>TRN-G40GJG1F38CJ03EIFGF9J0DGB1E8EE66</t>
  </si>
  <si>
    <t>2025-11-22T09:33:51.938Z</t>
  </si>
  <si>
    <t>TST-11/22/2025_2203</t>
  </si>
  <si>
    <t>BFS Settlement 11/21/2025</t>
  </si>
  <si>
    <t>2025-11-22T01:00:04.145Z</t>
  </si>
  <si>
    <t>5oEfYBsLNrNHfwgoeuDLT</t>
  </si>
  <si>
    <t>2025-11-21T19:28:45.458Z</t>
  </si>
  <si>
    <t>8d9eehd-ecmdvuOrbz2vG</t>
  </si>
  <si>
    <t>2025-11-21T10:08:37.907Z</t>
  </si>
  <si>
    <t>TRN-3B38GHJ15DDJ2523JIAJGHAI901608K6</t>
  </si>
  <si>
    <t>2025-11-21T04:57:12.893Z</t>
  </si>
  <si>
    <t>TRN-099219G9AHE774D4F11GIJ8CAK23C09F</t>
  </si>
  <si>
    <t>2025-11-21T04:55:32.359Z</t>
  </si>
  <si>
    <t>TRN-G4I4HFA797226J9CCCG0J0K9714F7AAB</t>
  </si>
  <si>
    <t>2025-11-21T04:55:32.357Z</t>
  </si>
  <si>
    <t>TST-11/21/2025_2203</t>
  </si>
  <si>
    <t>BFS Settlement 11/20/2025</t>
  </si>
  <si>
    <t>2025-11-21T01:00:04.125Z</t>
  </si>
  <si>
    <t>lsToQQ1ToD3kOp4dyMy9D</t>
  </si>
  <si>
    <t>2025-11-20T19:45:43.390Z</t>
  </si>
  <si>
    <t>TRN-G1H3EAB04H995K3JE21JD0AE1F90A47B</t>
  </si>
  <si>
    <t>2025-11-19T05:10:27.646Z</t>
  </si>
  <si>
    <t>TRN-GIJ4K509C43A146D750FF6I1AH2G7DCF</t>
  </si>
  <si>
    <t>2025-11-19T05:08:28.371Z</t>
  </si>
  <si>
    <t>TRN-IE84GC800746J8A3C0GI7HG539C36EF0</t>
  </si>
  <si>
    <t>2025-11-19T05:08:28.366Z</t>
  </si>
  <si>
    <t>TST-11/19/2025_2203</t>
  </si>
  <si>
    <t>BFS Settlement 11/18/2025</t>
  </si>
  <si>
    <t>2025-11-19T01:00:06.392Z</t>
  </si>
  <si>
    <t>_KEWFnZ8_La0cuSPH2kUP</t>
  </si>
  <si>
    <t>2025-11-18T17:28:05.322Z</t>
  </si>
  <si>
    <t>TRN-5FG8BG3BB6GC4KAIGD2J4KB63K3AF7KA</t>
  </si>
  <si>
    <t>2025-11-15T05:20:34.208Z</t>
  </si>
  <si>
    <t>TRN-KGGHA4H798GIB9AF8AC0B1IDEJK2EG6K</t>
  </si>
  <si>
    <t>2025-11-14T18:54:05.824Z</t>
  </si>
  <si>
    <t>TRN-FGFE1E90KCHBFA8D5F77JC2A7GB8J9DJ</t>
  </si>
  <si>
    <t>2025-11-14T18:54:05.814Z</t>
  </si>
  <si>
    <t>TST-11/14/2025_2203</t>
  </si>
  <si>
    <t>BFS Settlement 11/13/2025</t>
  </si>
  <si>
    <t>2025-11-14T01:00:05.150Z</t>
  </si>
  <si>
    <t>TRN-BFIHF6KJJ8KK1C7G4C5C2HA56F38J8B3</t>
  </si>
  <si>
    <t>2025-11-13T11:49:29.189Z</t>
  </si>
  <si>
    <t>TRN-6FCHABI41G86235G4JH7BKDA7G32A1DF</t>
  </si>
  <si>
    <t>2025-11-13T11:48:07.046Z</t>
  </si>
  <si>
    <t>TRN-FAI5CHAC40E85EK8KIEF0HK4IG750JBI</t>
  </si>
  <si>
    <t>2025-11-13T11:48:07.031Z</t>
  </si>
  <si>
    <t>_uCFCadMxcLuenCfCoUEg</t>
  </si>
  <si>
    <t>2025-11-13T10:46:34.530Z</t>
  </si>
  <si>
    <t>TST-11/13/2025_2203</t>
  </si>
  <si>
    <t>BFS Settlement 11/12/2025</t>
  </si>
  <si>
    <t>2025-11-13T01:00:05.529Z</t>
  </si>
  <si>
    <t>mNiEomEjuDESCnFylRInc</t>
  </si>
  <si>
    <t>2025-11-12T17:15:18.127Z</t>
  </si>
  <si>
    <t>TRN-AHIKB708B0BCDB8E243374FJBA4DIIF2</t>
  </si>
  <si>
    <t>2025-11-12T11:42:56.913Z</t>
  </si>
  <si>
    <t>TRN-05EIAHAFD57E24E3E03053EIB7847523</t>
  </si>
  <si>
    <t>2025-11-12T11:41:28.584Z</t>
  </si>
  <si>
    <t>TRN-5AH70B0FHH91FB2I05FD1157C268D4IA</t>
  </si>
  <si>
    <t>2025-11-12T11:41:28.581Z</t>
  </si>
  <si>
    <t>xsNDsNz3t1T-N_p37Sykj</t>
  </si>
  <si>
    <t>2025-11-12T11:07:39.752Z</t>
  </si>
  <si>
    <t>TST-11/12/2025_2203</t>
  </si>
  <si>
    <t>BFS Settlement 11/11/2025</t>
  </si>
  <si>
    <t>2025-11-12T01:00:05.267Z</t>
  </si>
  <si>
    <t>IGcy0eC2Eu9LsrAFRa-tr</t>
  </si>
  <si>
    <t>2025-11-11T14:28:35.665Z</t>
  </si>
  <si>
    <t>TRN-I88320DB49FB73HCKFCFHG0JFC26F70A</t>
  </si>
  <si>
    <t>2025-11-11T05:08:02.627Z</t>
  </si>
  <si>
    <t>TRN-47DE830FA45G5H25994A34K4A3ACC602</t>
  </si>
  <si>
    <t>2025-11-11T05:05:59.547Z</t>
  </si>
  <si>
    <t>TRN-6F5C227F15HCIH62A05G041202598CDG</t>
  </si>
  <si>
    <t>2025-11-11T05:05:59.544Z</t>
  </si>
  <si>
    <t>TST-11/11/2025_2203</t>
  </si>
  <si>
    <t>BFS Settlement 11/10/2025</t>
  </si>
  <si>
    <t>2025-11-11T01:00:03.392Z</t>
  </si>
  <si>
    <t>8scD68RcRTQ_vf4vmy-xk</t>
  </si>
  <si>
    <t>2025-11-10T19:10:32.123Z</t>
  </si>
  <si>
    <t>rlN0Q0KwsyuHRlv0IuxgM</t>
  </si>
  <si>
    <t>2025-11-10T19:09:16.643Z</t>
  </si>
  <si>
    <t>KrKx0QF5cGFB1V_UpbNFA</t>
  </si>
  <si>
    <t>2025-11-10T19:08:43.488Z</t>
  </si>
  <si>
    <t>9fcWnjYPA79PnmUgZxv7x</t>
  </si>
  <si>
    <t>2025-11-10T19:08:00.285Z</t>
  </si>
  <si>
    <t>k3pSbVY4RowesdCXx9VNH</t>
  </si>
  <si>
    <t>2025-11-10T19:03:21.092Z</t>
  </si>
  <si>
    <t>TRN-JI276J1AAJIH702A1H237A84G7IJJH1J</t>
  </si>
  <si>
    <t>2025-11-09T18:16:47.578Z</t>
  </si>
  <si>
    <t>TRN-I22BC3H7EG0CHID23KJ188D22G859C8A</t>
  </si>
  <si>
    <t>2025-11-09T05:08:16.438Z</t>
  </si>
  <si>
    <t>TRN-I878EK4859761566834HEJ6KCD5305K7</t>
  </si>
  <si>
    <t>2025-11-09T05:08:16.436Z</t>
  </si>
  <si>
    <t>TST-11/09/2025_2203</t>
  </si>
  <si>
    <t>BFS Settlement 11/8/2025</t>
  </si>
  <si>
    <t>2025-11-09T01:00:03.747Z</t>
  </si>
  <si>
    <t>K124k2kMtUDA7mwhC3-Ui</t>
  </si>
  <si>
    <t>2025-11-08T18:11:08.146Z</t>
  </si>
  <si>
    <t>TRN-B6611J582A5K6JE1BKDCI1KIACG4JF54</t>
  </si>
  <si>
    <t>2025-11-08T16:54:46.739Z</t>
  </si>
  <si>
    <t>TRN-GKAHAK3H54A3DGE4G0027D8JHC83DBKI</t>
  </si>
  <si>
    <t>2025-11-08T16:47:40.439Z</t>
  </si>
  <si>
    <t>TRN-6FIH65G1G3214DFK8EBEBJKH0H85K786</t>
  </si>
  <si>
    <t>2025-11-08T16:47:40.437Z</t>
  </si>
  <si>
    <t>TST-11/08/2025_2203</t>
  </si>
  <si>
    <t>BFS Settlement 11/7/2025</t>
  </si>
  <si>
    <t>2025-11-08T01:00:05.213Z</t>
  </si>
  <si>
    <t>bvdx7XDh5Gbeh4j3k7bCy</t>
  </si>
  <si>
    <t>2025-11-07T18:41:49.273Z</t>
  </si>
  <si>
    <t>IfgevcHHdP9cozx5GvXEG</t>
  </si>
  <si>
    <t>2025-11-07T18:40:56.640Z</t>
  </si>
  <si>
    <t>KJSSzAIcLIzqXGLY7DIlG</t>
  </si>
  <si>
    <t>2025-11-07T18:39:55.769Z</t>
  </si>
  <si>
    <t>ukQny2twBhgU25DW26BJV</t>
  </si>
  <si>
    <t>2025-11-07T10:25:40.013Z</t>
  </si>
  <si>
    <t>TRN-86J5DB4H241F6FEKB37EJHJD2C2CBI13</t>
  </si>
  <si>
    <t>2025-11-06T12:03:19.609Z</t>
  </si>
  <si>
    <t>TRN-AGJ355D9I7FJ153HA75KK0JJI763G382</t>
  </si>
  <si>
    <t>2025-11-06T12:01:43.963Z</t>
  </si>
  <si>
    <t>TRN-0BF578KKB020F921840CD5B5D5066F74</t>
  </si>
  <si>
    <t>2025-11-06T12:01:43.961Z</t>
  </si>
  <si>
    <t>TST-11/06/2025_2203</t>
  </si>
  <si>
    <t>BFS Settlement 11/5/2025</t>
  </si>
  <si>
    <t>2025-11-06T01:00:03.182Z</t>
  </si>
  <si>
    <t>ZhXCljH9c29Zqki0-Qkyr</t>
  </si>
  <si>
    <t>2025-11-05T15:39:54.626Z</t>
  </si>
  <si>
    <t>8eJ3dge8hRbSlQriQnTvC</t>
  </si>
  <si>
    <t>2025-11-05T15:32:41.298Z</t>
  </si>
  <si>
    <t>TRN-JBED5F865HFDH1DDH16E47H374AGG70B</t>
  </si>
  <si>
    <t>2025-11-05T05:21:46.672Z</t>
  </si>
  <si>
    <t>TRN-C39523611EIGI297AJK5EBAFH8E7EIF5</t>
  </si>
  <si>
    <t>2025-11-05T05:17:09.618Z</t>
  </si>
  <si>
    <t>TRN-JE09C3BGGG1GAE8195KG01KAAG4EFF5C</t>
  </si>
  <si>
    <t>2025-11-05T05:17:09.614Z</t>
  </si>
  <si>
    <t>TST-11/05/2025_2203</t>
  </si>
  <si>
    <t>BFS Settlement 11/4/2025</t>
  </si>
  <si>
    <t>2025-11-05T01:00:03.923Z</t>
  </si>
  <si>
    <t>QtmmJE7p1twmvu14UuoGT</t>
  </si>
  <si>
    <t>2025-11-04T19:10:30.971Z</t>
  </si>
  <si>
    <t>icgxyMyvNkvbu6Hgnhcyq</t>
  </si>
  <si>
    <t>2025-11-04T15:48:00.466Z</t>
  </si>
  <si>
    <t>TRN-IKHH0C9IH036DC0G99EGG76JK39K7926</t>
  </si>
  <si>
    <t>2025-11-04T05:36:54.571Z</t>
  </si>
  <si>
    <t>TRN-DCE3A276JF7DIHFBFEJF70E1C6EH07AF</t>
  </si>
  <si>
    <t>2025-11-04T05:35:03.852Z</t>
  </si>
  <si>
    <t>TRN-IE8JFGCKHJD0DAF45JHG36JKCG5FC3BF</t>
  </si>
  <si>
    <t>2025-11-04T05:35:03.849Z</t>
  </si>
  <si>
    <t>TST-11/04/2025_2203</t>
  </si>
  <si>
    <t>BFS Settlement 11/3/2025</t>
  </si>
  <si>
    <t>2025-11-04T01:00:03.203Z</t>
  </si>
  <si>
    <t>rkAS9bVJbdjF5y8vOf4Wt</t>
  </si>
  <si>
    <t>2025-11-03T10:09:11.991Z</t>
  </si>
  <si>
    <t>TRN-K95E926J0HF2J5821J212KJHKG0GKGAH</t>
  </si>
  <si>
    <t>service-charge</t>
  </si>
  <si>
    <t>naira-wallet</t>
  </si>
  <si>
    <t>Wallet Service Charge for the month ending Fri Oct 31 2025</t>
  </si>
  <si>
    <t>2025-11-01T01:03:46.892Z</t>
  </si>
  <si>
    <t>TRN-F24GDCDK15AFC547DHHK87KC0F53G178</t>
  </si>
  <si>
    <t>2025-10-29T04:37:16.728Z</t>
  </si>
  <si>
    <t>TRN-JH5DE3E7JB1291773262KHB6F46J6GF2</t>
  </si>
  <si>
    <t>2025-10-29T04:21:25.590Z</t>
  </si>
  <si>
    <t>TRN-BDDB4419I1EJJADHIK5EE7D2JG1HII9I</t>
  </si>
  <si>
    <t>2025-10-29T04:21:25.585Z</t>
  </si>
  <si>
    <t>TST-10/29/2025_2203</t>
  </si>
  <si>
    <t>BFS Settlement 10/28/2025</t>
  </si>
  <si>
    <t>2025-10-29T01:00:03.980Z</t>
  </si>
  <si>
    <t>TOLWnXbdKPQQe7QthLEoP</t>
  </si>
  <si>
    <t>2025-10-28T09:13:55.139Z</t>
  </si>
  <si>
    <t>TRN-15A92KD8KJ8A26A018068921H58BAE48</t>
  </si>
  <si>
    <t>2025-10-28T07:39:46.484Z</t>
  </si>
  <si>
    <t>TRN-4329K1E1JA0EG8B434C5BA77336HJAF7</t>
  </si>
  <si>
    <t>2025-10-28T07:37:58.707Z</t>
  </si>
  <si>
    <t>TRN-23A7C66DD62BA7HH3DEIEI9J41DJ122H</t>
  </si>
  <si>
    <t>2025-10-28T07:37:58.705Z</t>
  </si>
  <si>
    <t>TST-10/28/2025_2203</t>
  </si>
  <si>
    <t>BFS Settlement 10/27/2025</t>
  </si>
  <si>
    <t>2025-10-28T01:00:04.040Z</t>
  </si>
  <si>
    <t>sh6Hoypx1WzIsv8aOHHYQ</t>
  </si>
  <si>
    <t>2025-10-27T19:58:14.787Z</t>
  </si>
  <si>
    <t>ov3zSl2Lt-7wcyBnoX8RQ</t>
  </si>
  <si>
    <t>2025-10-27T19:09:16.757Z</t>
  </si>
  <si>
    <t>TRN-85HFAK01I6C82736C038185HKH32D7F7</t>
  </si>
  <si>
    <t>2025-10-26T07:17:24.914Z</t>
  </si>
  <si>
    <t>TRN-6EAFK5G022E3B9F04DD2JI4HC57G2KDJ</t>
  </si>
  <si>
    <t>2025-10-26T07:14:03.004Z</t>
  </si>
  <si>
    <t>TRN-E5DH89K49C7HE3KGD91HG2959CE9AC3J</t>
  </si>
  <si>
    <t>2025-10-26T07:14:03.002Z</t>
  </si>
  <si>
    <t>TST-10/26/2025_2203</t>
  </si>
  <si>
    <t>BFS Settlement 10/25/2025</t>
  </si>
  <si>
    <t>2025-10-26T01:00:03.043Z</t>
  </si>
  <si>
    <t>hnMBmBEa68DhpFGIcFB2n</t>
  </si>
  <si>
    <t>2025-10-25T17:04:23.539Z</t>
  </si>
  <si>
    <t>wq6QOlsIrhChth1Y4rsvE</t>
  </si>
  <si>
    <t>2025-10-25T16:56:59.485Z</t>
  </si>
  <si>
    <t>Uvj7vGl9gpYJo8115n0Gh</t>
  </si>
  <si>
    <t>2025-10-25T16:55:19.282Z</t>
  </si>
  <si>
    <t>Zxo-gS9fTioQRidqi9_dj</t>
  </si>
  <si>
    <t>2025-10-25T16:53:19.904Z</t>
  </si>
  <si>
    <t>TRN-3KBJ1EH8JC05E9FICI03GJ346F6CIC4K</t>
  </si>
  <si>
    <t>2025-10-22T05:47:09.496Z</t>
  </si>
  <si>
    <t>TRN-HJF9JHKD42J6E4DI4ABBCCJKIBJHDD17</t>
  </si>
  <si>
    <t>2025-10-22T05:42:10.045Z</t>
  </si>
  <si>
    <t>TRN-5D8BDGEJ3JA5K3GIJBB65GBG34IG50H3</t>
  </si>
  <si>
    <t>2025-10-22T05:42:10.041Z</t>
  </si>
  <si>
    <t>TST-10/22/2025_2203</t>
  </si>
  <si>
    <t>BFS Settlement 10/21/2025</t>
  </si>
  <si>
    <t>2025-10-22T01:00:04.882Z</t>
  </si>
  <si>
    <t>cYYJBYmc3IcPZij_lzEYh</t>
  </si>
  <si>
    <t>2025-10-21T18:53:54.611Z</t>
  </si>
  <si>
    <t>TRN-DBC312E31H2K7GD22ICKI70C33AAK352</t>
  </si>
  <si>
    <t>2025-10-21T13:38:19.567Z</t>
  </si>
  <si>
    <t>TRN-A5EABJ6CKA9JKKHEJ3EHB6H3AFIB4C83</t>
  </si>
  <si>
    <t>2025-10-21T13:37:02.792Z</t>
  </si>
  <si>
    <t>TRN-755D0H0FBHDAF27B7AH02G8FJ43EJ316</t>
  </si>
  <si>
    <t>2025-10-21T13:37:02.789Z</t>
  </si>
  <si>
    <t>TRN-CGI8H1C42GCA70BH8I5DDH2F72397B72</t>
  </si>
  <si>
    <t>2025-10-20T12:05:05.175Z</t>
  </si>
  <si>
    <t>TRN-11B4G060KJHJEKI1188321471258J40F</t>
  </si>
  <si>
    <t>2025-10-20T12:01:27.462Z</t>
  </si>
  <si>
    <t>TRN-HKKF93KJE7D5KKCI02F2B49BH3082DGD</t>
  </si>
  <si>
    <t>2025-10-20T12:01:27.457Z</t>
  </si>
  <si>
    <t>TST-10/19/2025_2203</t>
  </si>
  <si>
    <t>BFS Settlement 10/18/2025</t>
  </si>
  <si>
    <t>2025-10-19T01:00:03.042Z</t>
  </si>
  <si>
    <t>iELyMXTqZbL15_HMQtO4m</t>
  </si>
  <si>
    <t>2025-10-18T17:11:21.626Z</t>
  </si>
  <si>
    <t>2UfrCLnte-VePvaEQyPoF</t>
  </si>
  <si>
    <t>2025-10-18T11:31:15.517Z</t>
  </si>
  <si>
    <t>2025-10-17T13:36:28.444Z</t>
  </si>
  <si>
    <t>m4pw5SGUG_S1e2bSpxmov</t>
  </si>
  <si>
    <t>2025-10-17T11:24:05.067Z</t>
  </si>
  <si>
    <t>TRN-0JBDC05AB489BBJ86GEIB26B427I3940</t>
  </si>
  <si>
    <t>naira-virtual-account</t>
  </si>
  <si>
    <t>Wallet activation fee charge</t>
  </si>
  <si>
    <t>2025-10-17T11:18:42.894Z</t>
  </si>
  <si>
    <t>TRN-D838CC6I0019KG6KIB92E8EIDHK37B5J</t>
  </si>
  <si>
    <t>2025-10-15T16:02:44.658Z</t>
  </si>
  <si>
    <t>TRN-OER8MD1QQisGnqv2AaK1h</t>
  </si>
  <si>
    <t>000008260223102112872055642609</t>
  </si>
  <si>
    <t>ije beauty palace</t>
  </si>
  <si>
    <t>client_withdrawal</t>
  </si>
  <si>
    <t>2026-02-23T09:21:02.910Z</t>
  </si>
  <si>
    <t>TRN-D08JHBB4G2HEJCDK0HJ14DF30A0BK4E0</t>
  </si>
  <si>
    <t>transfer from master to pq9usqe6ak</t>
  </si>
  <si>
    <t>2026-02-23T09:05:38.616Z</t>
  </si>
  <si>
    <t>TRN-CJHHG7JD806EK150JFD05G3FJ3A219G9</t>
  </si>
  <si>
    <t>2026-02-23T09:05:38.606Z</t>
  </si>
  <si>
    <t>TST-02/23/2026_2108</t>
  </si>
  <si>
    <t>BFS Settlement 2/22/2026</t>
  </si>
  <si>
    <t>2026-02-23T01:00:09.761Z</t>
  </si>
  <si>
    <t>TRN-H394IHIG82C3246A63B4D82HFK8E52KE</t>
  </si>
  <si>
    <t>2026-02-22T14:35:19.804Z</t>
  </si>
  <si>
    <t>mc8U1X0aV9gZWk8BdhobZ</t>
  </si>
  <si>
    <t>100033260222132501438110370241</t>
  </si>
  <si>
    <t>reserved_account</t>
  </si>
  <si>
    <t>NIBSS:9015018378:IJEOMA GLORIA FESTUS:IJEOMA GLORIA FESTUS 8033735945:100033260222132501438110370241</t>
  </si>
  <si>
    <t>2026-02-22T13:26:05.782Z</t>
  </si>
  <si>
    <t>TRN-7KEEE48EE3B1A6H72ICJ18C228JH1DJ6</t>
  </si>
  <si>
    <t>2026-02-22T13:22:37.246Z</t>
  </si>
  <si>
    <t>TRN-C3AI6C3KIG3AI2J9JK346I586FKCF0D5</t>
  </si>
  <si>
    <t>2026-02-22T13:18:40.532Z</t>
  </si>
  <si>
    <t>TRN-KHJ8683DCIFG00F8HGBD9968IC298149</t>
  </si>
  <si>
    <t>2026-02-22T13:18:40.522Z</t>
  </si>
  <si>
    <t>TST-02/22/2026_2108</t>
  </si>
  <si>
    <t>BFS Settlement 2/21/2026</t>
  </si>
  <si>
    <t>2026-02-22T01:00:10.161Z</t>
  </si>
  <si>
    <t>H5lQs1WafNvvrU2NDbR_V</t>
  </si>
  <si>
    <t>100004260221090032152880374893</t>
  </si>
  <si>
    <t>NIBSS:9015018378:KOMIYO MORAYO OMOTEHINSE:Transfer from KOMIYO MORAYO OMOTEHINSE:100004260221090032152880374893</t>
  </si>
  <si>
    <t>2026-02-21T09:01:06.007Z</t>
  </si>
  <si>
    <t>TST-02/21/2026_2108</t>
  </si>
  <si>
    <t>BFS Settlement 2/20/2026</t>
  </si>
  <si>
    <t>2026-02-21T01:00:10.582Z</t>
  </si>
  <si>
    <t>68lFKUmuoBokqaE9rAPrZ</t>
  </si>
  <si>
    <t>100004260220161017152836699606</t>
  </si>
  <si>
    <t>NIBSS:9015018378:KOMIYO MORAYO OMOTEHINSE:Transfer from KOMIYO MORAYO OMOTEHINSE:100004260220161017152836699606</t>
  </si>
  <si>
    <t>2026-02-20T16:11:06.428Z</t>
  </si>
  <si>
    <t>TRN-0I3GEBF92162H6DC7E693E6359189G5H</t>
  </si>
  <si>
    <t>2026-01-08T14:09:01.953Z</t>
  </si>
  <si>
    <t>TRN-8014I12JD0FBA61HEK0ACH8DI20BCD25</t>
  </si>
  <si>
    <t>2026-01-08T14:06:43.817Z</t>
  </si>
  <si>
    <t>TRN-28CDG543JEF06J2IDICACE3713BA21AK</t>
  </si>
  <si>
    <t>2026-01-08T14:06:43.809Z</t>
  </si>
  <si>
    <t>TST-11/25/2025_2108</t>
  </si>
  <si>
    <t>2025-11-25T01:00:04.119Z</t>
  </si>
  <si>
    <t>TyW3D_WXN51GdOM_ZM4Eb</t>
  </si>
  <si>
    <t>100004251124174757146037030892</t>
  </si>
  <si>
    <t>NIBSS:9015018378:KOMIYO MORAYO OMOTEHINSE:Transfer from KOMIYO MORAYO OMOTEHINSE:100004251124174757146037030892</t>
  </si>
  <si>
    <t>2025-11-24T17:49:05.230Z</t>
  </si>
  <si>
    <t>TRN-HI6DKFJBI452EF29E77920C6G3DB947C</t>
  </si>
  <si>
    <t>2025-11-01T01:03:22.654Z</t>
  </si>
  <si>
    <t>jAWM4rcnVGeBUkz3jjYIc</t>
  </si>
  <si>
    <t>13.437499999999998</t>
  </si>
  <si>
    <t>2025-10-31T13:55:34.868Z</t>
  </si>
  <si>
    <t>TRN-G5F1C7F74EBBC2495IEKE4A8FK8I43I5</t>
  </si>
  <si>
    <t>2025-10-29T17:47:52.716Z</t>
  </si>
  <si>
    <t>TRN-7178326HFB109652DK2080HCB401FG7E</t>
  </si>
  <si>
    <t>2025-10-29T08:08:31.625Z</t>
  </si>
  <si>
    <t>TRN-KKAE2ECHIF63E176B2K3II0068IJ1IHE</t>
  </si>
  <si>
    <t>2025-10-29T08:08:31.622Z</t>
  </si>
  <si>
    <t>TST-10/29/2025_2108</t>
  </si>
  <si>
    <t>2025-10-29T01:00:03.199Z</t>
  </si>
  <si>
    <t>AjA3TJvRUQz8DU-5IizL-</t>
  </si>
  <si>
    <t>2025-10-28T14:44:33.687Z</t>
  </si>
  <si>
    <t>TST-10/24/2025_2108</t>
  </si>
  <si>
    <t>BFS Settlement 10/23/2025</t>
  </si>
  <si>
    <t>2025-10-24T01:00:02.523Z</t>
  </si>
  <si>
    <t>nYQ1wFAiULXAnIFcM3RzY</t>
  </si>
  <si>
    <t>100004251023162300143712626887</t>
  </si>
  <si>
    <t>NIBSS:9015018378:CHIOMA JENNIFER EZEJIMMADU:Transfer from CHIOMA JENNIFER EZEJIMMADU:100004251023162300143712626887</t>
  </si>
  <si>
    <t>2025-10-23T16:24:27.498Z</t>
  </si>
  <si>
    <t>cW66oLyYcpJmYA9AHq4A-</t>
  </si>
  <si>
    <t>26.874999999999996</t>
  </si>
  <si>
    <t>2025-10-23T14:58:25.687Z</t>
  </si>
  <si>
    <t>TST-10/20/2025_2108</t>
  </si>
  <si>
    <t>BFS Settlement 10/19/2025</t>
  </si>
  <si>
    <t>2025-10-20T01:00:02.842Z</t>
  </si>
  <si>
    <t>eerwxgmaorNK2JCTv0_VB</t>
  </si>
  <si>
    <t>100004251019192223143449951513</t>
  </si>
  <si>
    <t>NIBSS:9015018378:UGOCHI IRENE DAHUNSI:Transfer from UGOCHI IRENE DAHUNSI:100004251019192223143449951513</t>
  </si>
  <si>
    <t>2025-10-19T19:23:08.992Z</t>
  </si>
  <si>
    <t>TST-10/18/2025_2108</t>
  </si>
  <si>
    <t>BFS Settlement 10/17/2025</t>
  </si>
  <si>
    <t>2025-10-18T01:00:05.369Z</t>
  </si>
  <si>
    <t>OZ2xnGhhazaPF28YTTBEi</t>
  </si>
  <si>
    <t>100004251017130850143288185429</t>
  </si>
  <si>
    <t>NIBSS:9015018378:RAPHEAL ADIO DEPIVER:Transfer from RAPHEAL ADIO DEPIVER:100004251017130850143288185429</t>
  </si>
  <si>
    <t>2025-10-17T13:11:18.938Z</t>
  </si>
  <si>
    <t>TST-10/14/2025_2108</t>
  </si>
  <si>
    <t>BFS Settlement 10/13/2025</t>
  </si>
  <si>
    <t>2025-10-14T01:00:04.162Z</t>
  </si>
  <si>
    <t>UNt80oWQkMy-RZuf3lMLs</t>
  </si>
  <si>
    <t>000013251013140826000475961177</t>
  </si>
  <si>
    <t>NIBSS:9015018378:ADEYEMO  MOROLAYO ADENIKE:USSD NIP Transfer from  08024747705 to CBI-TECH - ije beauty Ijeoma  F:000013251013140826000475961177</t>
  </si>
  <si>
    <t>2025-10-13T13:09:09.346Z</t>
  </si>
  <si>
    <t>TRN-8A4J9K31D6KH998D1I4HE18594CH84BA</t>
  </si>
  <si>
    <t>2025-10-08T16:19:09.697Z</t>
  </si>
  <si>
    <t>TRN-3D8EI9GEC4JI520526A39EGKBA3AF254</t>
  </si>
  <si>
    <t>2025-10-08T16:16:31.147Z</t>
  </si>
  <si>
    <t>TRN-312ADECF0A7DD7C0GB806KAE1EB5379I</t>
  </si>
  <si>
    <t>2025-10-08T16:16:31.144Z</t>
  </si>
  <si>
    <t>TRN-32517780HDKG68DB2277HBK5E97HH2KE</t>
  </si>
  <si>
    <t>Wallet Service Charge for the month ending Tue Sep 30 2025</t>
  </si>
  <si>
    <t>2025-10-01T01:03:31.433Z</t>
  </si>
  <si>
    <t>TST-09/30/2025_2108</t>
  </si>
  <si>
    <t>BFS Settlement 9/29/2025</t>
  </si>
  <si>
    <t>2025-09-30T01:00:03.351Z</t>
  </si>
  <si>
    <t>Pn19LCgB7LdXUdvkuc5lG</t>
  </si>
  <si>
    <t>100004250929121057142034004955</t>
  </si>
  <si>
    <t>NIBSS:9015018378:OZIOMA GOODNEWS IWERU:Transfer from OZIOMA GOODNEWS IWERU:100004250929121057142034004955</t>
  </si>
  <si>
    <t>2025-09-29T12:11:18.817Z</t>
  </si>
  <si>
    <t>TST-09/28/2025_2108</t>
  </si>
  <si>
    <t>BFS Settlement 9/27/2025</t>
  </si>
  <si>
    <t>2025-09-28T01:00:01.716Z</t>
  </si>
  <si>
    <t>moUpjPuk7l9egQsaTty4i</t>
  </si>
  <si>
    <t>100004250927154544141922396762</t>
  </si>
  <si>
    <t>NIBSS:9015018378:OZIOMA GOODNEWS IWERU:Transfer from OZIOMA GOODNEWS IWERU:100004250927154544141922396762</t>
  </si>
  <si>
    <t>2025-09-27T15:46:09.278Z</t>
  </si>
  <si>
    <t>TST-09/26/2025_2108</t>
  </si>
  <si>
    <t>BFS Settlement 9/25/2025</t>
  </si>
  <si>
    <t>2025-09-26T01:00:03.137Z</t>
  </si>
  <si>
    <t>-1JAWmMB0uFiuvOpZCBk-</t>
  </si>
  <si>
    <t>100004250925104018141763534111</t>
  </si>
  <si>
    <t>NIBSS:9015018378:ESTHER SONIA IBOI:Transfer from ESTHER SONIA IBOI:100004250925104018141763534111</t>
  </si>
  <si>
    <t>2025-09-25T10:41:10.258Z</t>
  </si>
  <si>
    <t>j3TVv_q1yw401jGnQXoZe</t>
  </si>
  <si>
    <t>100004250925085741141756478118</t>
  </si>
  <si>
    <t>NIBSS:9015018378:REBECCA BLESSING AYODELE:Transfer from REBECCA BLESSING AYODELE:100004250925085741141756478118</t>
  </si>
  <si>
    <t>2025-09-25T08:58:13.905Z</t>
  </si>
  <si>
    <t>Gqv2EasyU5uu51vWtvvRP</t>
  </si>
  <si>
    <t>100004250924154903141719446464</t>
  </si>
  <si>
    <t>NIBSS:9015018378:FRIDAY AGBEBAKU IMOOJE:Transfer from FRIDAY AGBEBAKU IMOOJE:100004250924154903141719446464</t>
  </si>
  <si>
    <t>2025-09-24T15:49:17.128Z</t>
  </si>
  <si>
    <t>CBpgc5Gb0W55c0TrYtYf_</t>
  </si>
  <si>
    <t>100033250924151334955231597391</t>
  </si>
  <si>
    <t>NIBSS:9015018378:IJEOMA GLORIA FESTUS:IJEOMA GLORIA FESTUS 8033735945:100033250924151334955231597391</t>
  </si>
  <si>
    <t>2025-09-24T15:14:08.052Z</t>
  </si>
  <si>
    <t>TRN-CDC66K2AH87DJ0AD44C5F2B62C9K9IDD</t>
  </si>
  <si>
    <t>2025-09-22T15:14:20.001Z</t>
  </si>
  <si>
    <t>TRN-A5E5K1D6G4D228IDCJ3KBF1GJ5JE6DG8</t>
  </si>
  <si>
    <t>2025-09-19T12:48:38.092Z</t>
  </si>
  <si>
    <t>TRN-t_TTWHiXl7Q8zkKRbIJFk</t>
  </si>
  <si>
    <t>000008260227114437477922634909</t>
  </si>
  <si>
    <t>CHICHI FASHION DESIGNER</t>
  </si>
  <si>
    <t>2026-02-27T10:44:26.414Z</t>
  </si>
  <si>
    <t>TST-02/27/2026_2112</t>
  </si>
  <si>
    <t>BFS Settlement 2/26/2026</t>
  </si>
  <si>
    <t>2026-02-27T01:00:15.959Z</t>
  </si>
  <si>
    <t>uzsa8KjXDLbZ8ISclsYog</t>
  </si>
  <si>
    <t>2026-02-26T14:29:28.636Z</t>
  </si>
  <si>
    <t>TRN-qW_ztSJxk4X9H6OD5ZGDs</t>
  </si>
  <si>
    <t>000008260226111608368908362908</t>
  </si>
  <si>
    <t>2026-02-26T10:16:00.556Z</t>
  </si>
  <si>
    <t>TST-02/26/2026_2112</t>
  </si>
  <si>
    <t>BFS Settlement 2/25/2026</t>
  </si>
  <si>
    <t>2026-02-26T01:00:15.247Z</t>
  </si>
  <si>
    <t>62IRMzncu1S5l0fQFWjL6</t>
  </si>
  <si>
    <t>2026-02-25T16:38:47.093Z</t>
  </si>
  <si>
    <t>cUcvE4m__Gol8oF1r6D7I</t>
  </si>
  <si>
    <t>2026-02-25T11:46:30.916Z</t>
  </si>
  <si>
    <t>TRN-Y2T4QrsJQuYnmpHWoppa6</t>
  </si>
  <si>
    <t>000008260225105343623888906609</t>
  </si>
  <si>
    <t>2026-02-25T09:53:34.831Z</t>
  </si>
  <si>
    <t>sDFmlCvP38AF8mWWB33Lo</t>
  </si>
  <si>
    <t>2026-02-25T09:50:45.723Z</t>
  </si>
  <si>
    <t>D19Y8LSw427lSHSD81zhN</t>
  </si>
  <si>
    <t>000004260225104816853122225956</t>
  </si>
  <si>
    <t>NIBSS:9014754393:CHIDINMA CHARITY CHIJIOKE:MOB UTO CBI TECH   CHI c 35520538952:000004260225104816853122225956</t>
  </si>
  <si>
    <t>2026-02-25T09:49:04.818Z</t>
  </si>
  <si>
    <t>TST-02/22/2026_2112</t>
  </si>
  <si>
    <t>2026-02-22T01:00:08.421Z</t>
  </si>
  <si>
    <t>VD8VASpcyK4GBy-6RAVBo</t>
  </si>
  <si>
    <t>2026-02-21T13:39:41.779Z</t>
  </si>
  <si>
    <t>oC-h5GL1FiPxc5VYh4EWK</t>
  </si>
  <si>
    <t>2026-02-21T10:11:58.417Z</t>
  </si>
  <si>
    <t>TST-02/21/2026_2112</t>
  </si>
  <si>
    <t>2026-02-21T01:00:09.048Z</t>
  </si>
  <si>
    <t>TRN-QnzhFLRMFRveU_IRlHwzr</t>
  </si>
  <si>
    <t>000008260220173139499690751108</t>
  </si>
  <si>
    <t>2026-02-20T16:31:31.245Z</t>
  </si>
  <si>
    <t>rIY0Q59rwYAfltF2PTKZ0</t>
  </si>
  <si>
    <t>2026-02-20T14:30:53.788Z</t>
  </si>
  <si>
    <t>Ux8mI8h87yEUwmqCyL9mg</t>
  </si>
  <si>
    <t>2026-02-20T07:37:03.667Z</t>
  </si>
  <si>
    <t>TST-02/20/2026_2112</t>
  </si>
  <si>
    <t>BFS Settlement 2/19/2026</t>
  </si>
  <si>
    <t>2026-02-20T01:00:09.479Z</t>
  </si>
  <si>
    <t>6ab9rT1aMAuSwsgTVmP-8</t>
  </si>
  <si>
    <t>2026-02-19T20:51:12.597Z</t>
  </si>
  <si>
    <t>OH8K61itSI_tTWA6BU-cT</t>
  </si>
  <si>
    <t>16.124999999999996</t>
  </si>
  <si>
    <t>2026-02-19T17:31:00.753Z</t>
  </si>
  <si>
    <t>TRN-9GwHWFvvijIgg9o87VWjA</t>
  </si>
  <si>
    <t>000008260218160356436463611307</t>
  </si>
  <si>
    <t>2026-02-18T15:03:46.927Z</t>
  </si>
  <si>
    <t>TST-02/18/2026_2112</t>
  </si>
  <si>
    <t>BFS Settlement 2/17/2026</t>
  </si>
  <si>
    <t>2026-02-18T01:00:07.643Z</t>
  </si>
  <si>
    <t>brcnL6gtCZc4laqV61UZ3</t>
  </si>
  <si>
    <t>100004260217080027152558354684</t>
  </si>
  <si>
    <t>NIBSS:9014754393:CHIDINMA CHARITY CHIJIOKE:Transfer from CHIDINMA CHARITY CHIJIOKE:100004260217080027152558354684</t>
  </si>
  <si>
    <t>2026-02-17T08:01:05.916Z</t>
  </si>
  <si>
    <t>TRN-FaN7b5ypXFxg3xPcNuQY6</t>
  </si>
  <si>
    <t>000008260217085821501548028607</t>
  </si>
  <si>
    <t>2026-02-17T07:58:13.732Z</t>
  </si>
  <si>
    <t>TST-02/17/2026_2112</t>
  </si>
  <si>
    <t>BFS Settlement 2/16/2026</t>
  </si>
  <si>
    <t>2026-02-17T01:00:07.049Z</t>
  </si>
  <si>
    <t>ZtHA0l8J719k4EkVrtkx0</t>
  </si>
  <si>
    <t>100004260216172702152524198975</t>
  </si>
  <si>
    <t>NIBSS:9014754393:KOMIYO MORAYO OMOTEHINSE:Transfer from KOMIYO MORAYO OMOTEHINSE:100004260216172702152524198975</t>
  </si>
  <si>
    <t>2026-02-16T17:28:13.725Z</t>
  </si>
  <si>
    <t>TRN-Skk9KJ1W5KGlFvQuIneEC</t>
  </si>
  <si>
    <t>000008260214084709629092694109</t>
  </si>
  <si>
    <t>2026-02-14T07:47:00.711Z</t>
  </si>
  <si>
    <t>TRN-8FROGFBE3pM0xK_aIAHsF</t>
  </si>
  <si>
    <t>000008260213162503703999662808</t>
  </si>
  <si>
    <t>2026-02-13T15:24:55.480Z</t>
  </si>
  <si>
    <t>TST-02/13/2026_2112</t>
  </si>
  <si>
    <t>BFS Settlement 2/12/2026</t>
  </si>
  <si>
    <t>2026-02-13T01:00:07.503Z</t>
  </si>
  <si>
    <t>SrHCWng4HBuq_hx9YKJV1</t>
  </si>
  <si>
    <t>2026-02-12T20:17:35.903Z</t>
  </si>
  <si>
    <t>9LWA4gcX6p7jzvTNTJQTe</t>
  </si>
  <si>
    <t>2026-02-12T09:00:45.958Z</t>
  </si>
  <si>
    <t>TRN-5W11UiX6Ysv00IBmWIwdR</t>
  </si>
  <si>
    <t>000008260211105657217101513009</t>
  </si>
  <si>
    <t>2026-02-11T09:56:48.560Z</t>
  </si>
  <si>
    <t>AvukHNlP9lKiXUGs2bJx0</t>
  </si>
  <si>
    <t>53.74999999999999</t>
  </si>
  <si>
    <t>2026-02-10T15:36:59.961Z</t>
  </si>
  <si>
    <t>TST-02/10/2026_2112</t>
  </si>
  <si>
    <t>BFS Settlement 2/9/2026</t>
  </si>
  <si>
    <t>2026-02-10T01:00:06.958Z</t>
  </si>
  <si>
    <t>sBIcvdH7qNaGh7qa8ptOB</t>
  </si>
  <si>
    <t>2026-02-09T17:43:40.868Z</t>
  </si>
  <si>
    <t>TRN-NtjAo5gV5qbsTsAQ6N4a-</t>
  </si>
  <si>
    <t>000008260206183543743607917509</t>
  </si>
  <si>
    <t>2026-02-06T17:35:31.737Z</t>
  </si>
  <si>
    <t>TST-02/05/2026_2112</t>
  </si>
  <si>
    <t>BFS Settlement 2/4/2026</t>
  </si>
  <si>
    <t>2026-02-05T01:00:06.851Z</t>
  </si>
  <si>
    <t>gsXNZC1qZVp3qKNn44jeO</t>
  </si>
  <si>
    <t>2026-02-04T18:23:42.047Z</t>
  </si>
  <si>
    <t>TRN-X_OznLiapvvt-PU_Q4Ye_</t>
  </si>
  <si>
    <t>000008260130165227747192861009</t>
  </si>
  <si>
    <t>2026-01-30T15:52:18.325Z</t>
  </si>
  <si>
    <t>TRN-r56SoerVeciG014hu2Zzs</t>
  </si>
  <si>
    <t>2026-01-30T07:35:58.004Z</t>
  </si>
  <si>
    <t>TST-01/30/2026_2112</t>
  </si>
  <si>
    <t>BFS Settlement 1/29/2026</t>
  </si>
  <si>
    <t>2026-01-30T01:00:07.178Z</t>
  </si>
  <si>
    <t>Bj7H8zBAFgMJSHJ50ePJ4</t>
  </si>
  <si>
    <t>2026-01-29T16:16:42.862Z</t>
  </si>
  <si>
    <t>P65uHtzJZX9NP4RKJplFY</t>
  </si>
  <si>
    <t>2026-01-29T16:15:39.001Z</t>
  </si>
  <si>
    <t>umG_qQWw8QlqKu9q9Drs_</t>
  </si>
  <si>
    <t>2026-01-29T14:24:05.658Z</t>
  </si>
  <si>
    <t>4CuHVmcsGz3htrI7WQ78C</t>
  </si>
  <si>
    <t>2026-01-29T14:22:48.897Z</t>
  </si>
  <si>
    <t>VFeqb71mTcyezZ5KyVc9p</t>
  </si>
  <si>
    <t>2026-01-29T14:21:48.214Z</t>
  </si>
  <si>
    <t>TRN-lLz7U6zLQJlXW-V7RldAG</t>
  </si>
  <si>
    <t>2026-01-29T14:17:25.792Z</t>
  </si>
  <si>
    <t>TRN-GK31834F0703F895A7E0FGB35DGH2II7</t>
  </si>
  <si>
    <t>2026-01-29T14:12:32.861Z</t>
  </si>
  <si>
    <t>e2hT3C6vC7_AICH4IFZTU</t>
  </si>
  <si>
    <t>2026-01-29T13:14:51.638Z</t>
  </si>
  <si>
    <t>kjxe32_GhEMhVM05iO-Xv</t>
  </si>
  <si>
    <t>2026-01-29T11:48:27.656Z</t>
  </si>
  <si>
    <t>TST-01/29/2026_2112</t>
  </si>
  <si>
    <t>BFS Settlement 1/28/2026</t>
  </si>
  <si>
    <t>2026-01-29T01:00:06.972Z</t>
  </si>
  <si>
    <t>TRN-A649GJ3JFB5F03B4J44F2I1HE3BECAJ0</t>
  </si>
  <si>
    <t>2026-01-28T18:39:47.920Z</t>
  </si>
  <si>
    <t>TRN-B8E5EA5E70EJ3E0BAEJ3B5FH4A180B8C</t>
  </si>
  <si>
    <t>transfer from master to bp8oyp08ta</t>
  </si>
  <si>
    <t>2026-01-28T18:37:35.184Z</t>
  </si>
  <si>
    <t>TRN-B9J8ADK03K95D393J5FHF768G4810F4G</t>
  </si>
  <si>
    <t>2026-01-28T18:37:35.180Z</t>
  </si>
  <si>
    <t>MvIVvAa4r_g0Fur5XwVLw</t>
  </si>
  <si>
    <t>2026-01-28T17:21:47.937Z</t>
  </si>
  <si>
    <t>utnf0d9f9MmNIejDczW-1</t>
  </si>
  <si>
    <t>2026-01-28T15:46:17.939Z</t>
  </si>
  <si>
    <t>TRN-djdP2IDRcXCaVCL7cVGtP</t>
  </si>
  <si>
    <t>2026-01-28T12:31:23.156Z</t>
  </si>
  <si>
    <t>2026-01-28T10:05:31.522Z</t>
  </si>
  <si>
    <t>4vzTkxPoE5IbmzyeXP9KO</t>
  </si>
  <si>
    <t>2026-01-28T09:45:39.773Z</t>
  </si>
  <si>
    <t>v6WeO8Js3Azg8yzZWq-p6</t>
  </si>
  <si>
    <t>2026-01-28T05:45:52.046Z</t>
  </si>
  <si>
    <t>NwsBkZex9EF90EPJb5LnE</t>
  </si>
  <si>
    <t>2026-01-28T05:44:59.414Z</t>
  </si>
  <si>
    <t>TRN-zFMMENd5xyj7drJ1AnQ82</t>
  </si>
  <si>
    <t>2026-01-28T04:41:02.157Z</t>
  </si>
  <si>
    <t>TST-01/28/2026_2112</t>
  </si>
  <si>
    <t>BFS Settlement 1/27/2026</t>
  </si>
  <si>
    <t>2026-01-28T01:00:05.024Z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</si>
  <si>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</si>
  <si>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</si>
  <si>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</si>
  <si>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</si>
  <si>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</si>
  <si>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</si>
  <si>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TRN-mN9FARpF2dfU8nDpt40Ka</t>
  </si>
  <si>
    <t>2026-01-27T05:34:21.269Z</t>
  </si>
  <si>
    <t>TST-01/27/2026_2112</t>
  </si>
  <si>
    <t>BFS Settlement 1/26/2026</t>
  </si>
  <si>
    <t>2026-01-27T01:00:05.402Z</t>
  </si>
  <si>
    <t>TRN-pK1TtmPQr3Ss5D8eZSw8p</t>
  </si>
  <si>
    <t>2026-01-26T22:12:24.495Z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</si>
  <si>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</si>
  <si>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</si>
  <si>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</si>
  <si>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</si>
  <si>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</si>
  <si>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</si>
  <si>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TRN-P6Ca4JncRFkcFlVRX9gdX</t>
  </si>
  <si>
    <t>2026-01-26T05:29:21.868Z</t>
  </si>
  <si>
    <t>TRN-VyHaZrWcZBCMa0mHfKqno</t>
  </si>
  <si>
    <t>2026-01-26T05:28:29.625Z</t>
  </si>
  <si>
    <t>TST-01/26/2026_2112</t>
  </si>
  <si>
    <t>BFS Settlement 1/25/2026</t>
  </si>
  <si>
    <t>2026-01-26T01:00:03.337Z</t>
  </si>
  <si>
    <t>7ARQULHRR7jueS66JPJF_</t>
  </si>
  <si>
    <t>2026-01-25T16:22:40.448Z</t>
  </si>
  <si>
    <t>bbOzAit9fdBGVTJifqhQm</t>
  </si>
  <si>
    <t>2026-01-25T16:02:44.638Z</t>
  </si>
  <si>
    <t>2026-01-24T11:48:17.776Z</t>
  </si>
  <si>
    <t>o8X-CRAjjqW-xkRdhN5Zb</t>
  </si>
  <si>
    <t>2026-01-24T08:02:40.928Z</t>
  </si>
  <si>
    <t>JPmA7lImnSe4DejFqIBDW</t>
  </si>
  <si>
    <t>2026-01-24T08:01:52.244Z</t>
  </si>
  <si>
    <t>TRN-NKlCbWi9-Kznzc-ub--eZ</t>
  </si>
  <si>
    <t>000008260124080541741314665509</t>
  </si>
  <si>
    <t>2026-01-24T07:05:32.828Z</t>
  </si>
  <si>
    <t>TST-01/24/2026_2112</t>
  </si>
  <si>
    <t>BFS Settlement 1/23/2026</t>
  </si>
  <si>
    <t>2026-01-24T01:00:06.521Z</t>
  </si>
  <si>
    <t>WBnVjw5ErGhu5Fz6bTyPg</t>
  </si>
  <si>
    <t>2026-01-23T13:28:16.471Z</t>
  </si>
  <si>
    <t>AVZmSluYu1FjEAyP-HcqU</t>
  </si>
  <si>
    <t>2026-01-23T13:26:58.425Z</t>
  </si>
  <si>
    <t>wxaODlaRganibkWhTDkDh</t>
  </si>
  <si>
    <t>2026-01-23T06:08:47.096Z</t>
  </si>
  <si>
    <t>TST-01/23/2026_2112</t>
  </si>
  <si>
    <t>BFS Settlement 1/22/2026</t>
  </si>
  <si>
    <t>2026-01-23T01:00:06.982Z</t>
  </si>
  <si>
    <t>tj6FtQDYTex9v7v_Hxz8r</t>
  </si>
  <si>
    <t>2026-01-22T16:05:12.496Z</t>
  </si>
  <si>
    <t>XfB9z_TV99jeg7HHdNsiw</t>
  </si>
  <si>
    <t>2026-01-22T16:04:21.541Z</t>
  </si>
  <si>
    <t>TST-01/22/2026_2112</t>
  </si>
  <si>
    <t>BFS Settlement 1/21/2026</t>
  </si>
  <si>
    <t>2026-01-22T01:00:06.907Z</t>
  </si>
  <si>
    <t>oLiLnRz6h-GZPk5GIR89W</t>
  </si>
  <si>
    <t>2026-01-21T19:42:44.282Z</t>
  </si>
  <si>
    <t>aHBB7zrUhZoU9-q4Dosx-</t>
  </si>
  <si>
    <t>2026-01-21T07:12:01.856Z</t>
  </si>
  <si>
    <t>TRN-SOmZowaIeFmiF7IlG-05D</t>
  </si>
  <si>
    <t>000008260120170717637250919809</t>
  </si>
  <si>
    <t>2026-01-20T16:07:08.986Z</t>
  </si>
  <si>
    <t>TRN-Aivthoh1pMwixJkmvTRlI</t>
  </si>
  <si>
    <t>000008260120170618578895580809</t>
  </si>
  <si>
    <t>2026-01-20T16:06:09.476Z</t>
  </si>
  <si>
    <t>TRN-HXCyU2U_FonTzkEPmFHxe</t>
  </si>
  <si>
    <t>2026-01-20T07:20:32.798Z</t>
  </si>
  <si>
    <t>TRN-90-QGjIoDzEN8NcOoHzr6</t>
  </si>
  <si>
    <t>2026-01-20T07:19:23.876Z</t>
  </si>
  <si>
    <t>TST-01/20/2026_2112</t>
  </si>
  <si>
    <t>BFS Settlement 1/19/2026</t>
  </si>
  <si>
    <t>2026-01-20T01:00:06.856Z</t>
  </si>
  <si>
    <t>pczLk-ywTY1Nn39bH31oT</t>
  </si>
  <si>
    <t>2026-01-19T19:21:28.994Z</t>
  </si>
  <si>
    <t>TRN-sPC8QhhL_OKIxSu3ilsek</t>
  </si>
  <si>
    <t>2026-01-19T16:30:19.803Z</t>
  </si>
  <si>
    <t>TRN-XPg3nFzTpgLMQ2arjFhNE</t>
  </si>
  <si>
    <t>2026-01-19T12:03:06.099Z</t>
  </si>
  <si>
    <t>TRN-puQ7xtqTc159xXqlqOZrm</t>
  </si>
  <si>
    <t>2026-01-19T09:54:09.492Z</t>
  </si>
  <si>
    <t>TRN-7jGr-CNXCIb7vCZG27uod</t>
  </si>
  <si>
    <t>2026-01-19T09:51:30.331Z</t>
  </si>
  <si>
    <t>QmwnmWbcNlyH20bxfV_XT</t>
  </si>
  <si>
    <t>2026-01-19T07:55:03.144Z</t>
  </si>
  <si>
    <t>TRN-r7itaX3wFD_LuFVNPYHcW</t>
  </si>
  <si>
    <t>2026-01-19T07:51:06.134Z</t>
  </si>
  <si>
    <t>TRN-cziVhjTXR6p_KMyK9DBA8</t>
  </si>
  <si>
    <t>2026-01-19T06:44:49.181Z</t>
  </si>
  <si>
    <t>TST-01/19/2026_2112</t>
  </si>
  <si>
    <t>BFS Settlement 1/18/2026</t>
  </si>
  <si>
    <t>2026-01-19T01:00:04.101Z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</si>
  <si>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</si>
  <si>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</si>
  <si>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</si>
  <si>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</si>
  <si>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</si>
  <si>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</si>
  <si>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</si>
  <si>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</si>
  <si>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</si>
  <si>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</si>
  <si>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</si>
  <si>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</si>
  <si>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</si>
  <si>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64.49999999999999</t>
  </si>
  <si>
    <t>2026-01-18T16:05:08.247Z</t>
  </si>
  <si>
    <t>TRN-z57l3yzYc7l1Ybl4Ml8aN</t>
  </si>
  <si>
    <t>2026-01-18T11:14:27.996Z</t>
  </si>
  <si>
    <t>TST-01/18/2026_2112</t>
  </si>
  <si>
    <t>2026-01-18T01:00:04.486Z</t>
  </si>
  <si>
    <t>dM--xgn1AEjK-sx96FzPF</t>
  </si>
  <si>
    <t>2026-01-17T20:48:03.914Z</t>
  </si>
  <si>
    <t>UF77P47bG7xJUZQ1Hj0nW</t>
  </si>
  <si>
    <t>2026-01-17T20:04:09.070Z</t>
  </si>
  <si>
    <t>TRN-HDt04niC0-IsrFa--2EWw</t>
  </si>
  <si>
    <t>000008260117070020020688133709</t>
  </si>
  <si>
    <t>2026-01-17T06:00:12.698Z</t>
  </si>
  <si>
    <t>TST-01/17/2026_2112</t>
  </si>
  <si>
    <t>2026-01-17T01:00:05.619Z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</si>
  <si>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</si>
  <si>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</si>
  <si>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</si>
  <si>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</si>
  <si>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</si>
  <si>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</si>
  <si>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</si>
  <si>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</si>
  <si>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</si>
  <si>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</si>
  <si>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</si>
  <si>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</si>
  <si>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</si>
  <si>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</si>
  <si>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TRN-T2O0TybTPETDijnZILLsB</t>
  </si>
  <si>
    <t>000008260116061625985491688807</t>
  </si>
  <si>
    <t>2026-01-16T05:16:16.186Z</t>
  </si>
  <si>
    <t>TST-01/16/2026_2112</t>
  </si>
  <si>
    <t>2026-01-16T01:00:05.575Z</t>
  </si>
  <si>
    <t>kre6Ps-IMvFQyyuhptvxs</t>
  </si>
  <si>
    <t>2026-01-15T19:54:03.736Z</t>
  </si>
  <si>
    <t>a566JC8j3Tr_qNw4cfmGu</t>
  </si>
  <si>
    <t>2026-01-15T18:17:10.827Z</t>
  </si>
  <si>
    <t>TRN-hHBjdYeG-YGEg6PEjiRgK</t>
  </si>
  <si>
    <t>000008260115115044644676282109</t>
  </si>
  <si>
    <t>2026-01-15T10:50:35.619Z</t>
  </si>
  <si>
    <t>TRN-7VM59dMNPGC1LCrfzegVi</t>
  </si>
  <si>
    <t>2026-01-15T10:01:13.053Z</t>
  </si>
  <si>
    <t>TRN-fNTuOqKRHrEOUlfFWxTZi</t>
  </si>
  <si>
    <t>2026-01-15T09:58:43.993Z</t>
  </si>
  <si>
    <t>TRN-hjbb7JDfMoQmbh8zWqhEC</t>
  </si>
  <si>
    <t>2026-01-15T08:53:41.834Z</t>
  </si>
  <si>
    <t>TRN-YVg-IWyShyfy-8OT7-XjG</t>
  </si>
  <si>
    <t>2026-01-15T08:52:43.422Z</t>
  </si>
  <si>
    <t>TRN-_o1sS7xqfx3er-HFKh7nZ</t>
  </si>
  <si>
    <t>2026-01-15T08:44:06.804Z</t>
  </si>
  <si>
    <t>IOiMNTJuDF3nxmywgfnDF</t>
  </si>
  <si>
    <t>2026-01-15T06:34:08.334Z</t>
  </si>
  <si>
    <t>TST-01/15/2026_2112</t>
  </si>
  <si>
    <t>2026-01-15T01:00:05.975Z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</si>
  <si>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</si>
  <si>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</si>
  <si>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</si>
  <si>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</si>
  <si>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</si>
  <si>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</si>
  <si>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TRN-tPGz9LHdsXHLhubILp1qg</t>
  </si>
  <si>
    <t>000008260114094445685093463507</t>
  </si>
  <si>
    <t>2026-01-14T08:44:35.436Z</t>
  </si>
  <si>
    <t>kKB4pwTOHsxD4RR1ASP3X</t>
  </si>
  <si>
    <t>2026-01-14T06:52:39.921Z</t>
  </si>
  <si>
    <t>TST-01/14/2026_2112</t>
  </si>
  <si>
    <t>2026-01-14T01:00:05.325Z</t>
  </si>
  <si>
    <t>dSpKRVeZo6gT5vVrqRRY8</t>
  </si>
  <si>
    <t>2026-01-13T19:18:40.609Z</t>
  </si>
  <si>
    <t>dRPO5g-0rcLAP4hz2aLMl</t>
  </si>
  <si>
    <t>2026-01-13T19:05:14.033Z</t>
  </si>
  <si>
    <t>TST-01/13/2026_2112</t>
  </si>
  <si>
    <t>2026-01-13T01:00:04.771Z</t>
  </si>
  <si>
    <t>1llgEA2DwfGZbGKqMmi-_</t>
  </si>
  <si>
    <t>2026-01-12T14:40:46.910Z</t>
  </si>
  <si>
    <t>iZiSMNshbHH1sQFvD06OI</t>
  </si>
  <si>
    <t>2026-01-12T10:03:18.716Z</t>
  </si>
  <si>
    <t>TST-01/12/2026_2112</t>
  </si>
  <si>
    <t>2026-01-12T01:00:03.472Z</t>
  </si>
  <si>
    <t>Sd-8HVA961Qfuij4oNb4J</t>
  </si>
  <si>
    <t>2026-01-11T06:07:34.490Z</t>
  </si>
  <si>
    <t>TST-01/11/2026_2112</t>
  </si>
  <si>
    <t>2026-01-11T01:00:03.812Z</t>
  </si>
  <si>
    <t>TRN-A5LxwN006sxQsSWxmHOlq</t>
  </si>
  <si>
    <t>000008260110173134094639247209</t>
  </si>
  <si>
    <t>2026-01-10T16:31:26.438Z</t>
  </si>
  <si>
    <t>1rphYGZp_vxflN_4EUMIV</t>
  </si>
  <si>
    <t>2026-01-10T13:59:06.453Z</t>
  </si>
  <si>
    <t>TST-01/10/2026_2112</t>
  </si>
  <si>
    <t>2026-01-10T01:00:04.141Z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</si>
  <si>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</si>
  <si>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</si>
  <si>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</si>
  <si>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</si>
  <si>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</si>
  <si>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</si>
  <si>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</si>
  <si>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32.24999999999999</t>
  </si>
  <si>
    <t>2026-01-09T16:35:18.679Z</t>
  </si>
  <si>
    <t>TRN-_8_24IooO3IcWKe3AS4ma</t>
  </si>
  <si>
    <t>000008260109085406646077726909</t>
  </si>
  <si>
    <t>2026-01-09T07:53:55.695Z</t>
  </si>
  <si>
    <t>TST-01/09/2026_2112</t>
  </si>
  <si>
    <t>2026-01-09T01:00:05.608Z</t>
  </si>
  <si>
    <t>EUO0a6Ruwm2dL94jcNoa3</t>
  </si>
  <si>
    <t>2026-01-08T19:51:26.074Z</t>
  </si>
  <si>
    <t>DWizTClAF9y1hLyWw5gZU</t>
  </si>
  <si>
    <t>2026-01-08T19:13:10.768Z</t>
  </si>
  <si>
    <t>22N1SKeEkLsQDlRyoZCUF</t>
  </si>
  <si>
    <t>8.062499999999998</t>
  </si>
  <si>
    <t>2026-01-08T14:03:09.378Z</t>
  </si>
  <si>
    <t>TRN-B1V7PwA-WeolDq93ha6zG</t>
  </si>
  <si>
    <t>000008260108110322002765216109</t>
  </si>
  <si>
    <t>2026-01-08T10:03:11.528Z</t>
  </si>
  <si>
    <t>SJo2YnOikAQgJ79wmw65Q</t>
  </si>
  <si>
    <t>2026-01-08T09:26:17.260Z</t>
  </si>
  <si>
    <t>wT6CnrEArQOHSpEGMk5g4</t>
  </si>
  <si>
    <t>2026-01-08T07:25:44.538Z</t>
  </si>
  <si>
    <t>TST-01/08/2026_2112</t>
  </si>
  <si>
    <t>2026-01-08T01:00:05.899Z</t>
  </si>
  <si>
    <t>zE5_gcEX915-4kcJvlpnz</t>
  </si>
  <si>
    <t>2026-01-07T19:03:28.273Z</t>
  </si>
  <si>
    <t>LEnELDFVNIeRAJChrLyWn</t>
  </si>
  <si>
    <t>2026-01-07T08:09:45.069Z</t>
  </si>
  <si>
    <t>TRN-C1sK2C_4Mx-ft2OferNV5</t>
  </si>
  <si>
    <t>000008260107071200720262011208</t>
  </si>
  <si>
    <t>2026-01-07T06:11:52.275Z</t>
  </si>
  <si>
    <t>TST-01/07/2026_2112</t>
  </si>
  <si>
    <t>2026-01-07T01:00:05.592Z</t>
  </si>
  <si>
    <t>Sz-ysjaXs8EflRwRtihZI</t>
  </si>
  <si>
    <t>2026-01-06T18:46:30.685Z</t>
  </si>
  <si>
    <t>TRN-nrlAxW0pSFFzS448koip_</t>
  </si>
  <si>
    <t>000008260106175509909001484108</t>
  </si>
  <si>
    <t>2026-01-06T16:54:59.262Z</t>
  </si>
  <si>
    <t>v9N1RIVU0Au4N2tkchxtn</t>
  </si>
  <si>
    <t>2026-01-06T15:47:20.947Z</t>
  </si>
  <si>
    <t>7s-4h6riVRUlw6el-MI06</t>
  </si>
  <si>
    <t>2026-01-06T07:08:51.059Z</t>
  </si>
  <si>
    <t>TST-01/06/2026_2112</t>
  </si>
  <si>
    <t>2026-01-06T01:00:05.871Z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</si>
  <si>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</si>
  <si>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</si>
  <si>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</si>
  <si>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</si>
  <si>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</si>
  <si>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</si>
  <si>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</si>
  <si>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</si>
  <si>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</si>
  <si>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</si>
  <si>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</si>
  <si>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</si>
  <si>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TST-01/05/2026_2112</t>
  </si>
  <si>
    <t>2026-01-05T01:00:03.732Z</t>
  </si>
  <si>
    <t>QrBsHYduohSDfqNTkR0CP</t>
  </si>
  <si>
    <t>2026-01-04T19:44:00.724Z</t>
  </si>
  <si>
    <t>9K1X44xZlFht88DdiOVrT</t>
  </si>
  <si>
    <t>2026-01-04T18:11:02.648Z</t>
  </si>
  <si>
    <t>P7w41qEfNbIRj3nBAgkpr</t>
  </si>
  <si>
    <t>2026-01-04T18:10:06.499Z</t>
  </si>
  <si>
    <t>ciDwgiVsdaMvZ1RTFGrgx</t>
  </si>
  <si>
    <t>2026-01-04T18:08:19.622Z</t>
  </si>
  <si>
    <t>PSqpFI5YzJ9jXJU39OhUv</t>
  </si>
  <si>
    <t>2026-01-04T18:06:30.621Z</t>
  </si>
  <si>
    <t>Qk6CCGBlpDa57dxTjPGIv</t>
  </si>
  <si>
    <t>2026-01-04T16:53:57.005Z</t>
  </si>
  <si>
    <t>x_E6L0fccDlwIs_6bP6Jo</t>
  </si>
  <si>
    <t>2026-01-04T16:52:17.726Z</t>
  </si>
  <si>
    <t>TST-01/04/2026_2112</t>
  </si>
  <si>
    <t>2026-01-04T01:00:04.471Z</t>
  </si>
  <si>
    <t>TRN-U69ifOnpvXOLD2FW0lJ6E</t>
  </si>
  <si>
    <t>000008260103120418658204342409</t>
  </si>
  <si>
    <t>2026-01-03T11:04:07.905Z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</si>
  <si>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</si>
  <si>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</si>
  <si>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</si>
  <si>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</si>
  <si>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</si>
  <si>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</si>
  <si>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pZnzb1_eYu55fj4FHdLK1</t>
  </si>
  <si>
    <t>2026-01-03T08:39:58.294Z</t>
  </si>
  <si>
    <t>TST-01/03/2026_2112</t>
  </si>
  <si>
    <t>2026-01-03T01:00:05.062Z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</si>
  <si>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</si>
  <si>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</si>
  <si>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</si>
  <si>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</si>
  <si>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</si>
  <si>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</si>
  <si>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TRN-6x5k6N_jmfkQyk2bZL6sU</t>
  </si>
  <si>
    <t>000008260102111353233579637309</t>
  </si>
  <si>
    <t>2026-01-02T10:13:45.410Z</t>
  </si>
  <si>
    <t>xa2tjpKzUYEd3aMcPQrds</t>
  </si>
  <si>
    <t>2026-01-02T09:35:02.763Z</t>
  </si>
  <si>
    <t>TST-01/02/2026_2112</t>
  </si>
  <si>
    <t>2026-01-02T01:00:03.780Z</t>
  </si>
  <si>
    <t>EqzQ4bIcelKDtet7ES87i</t>
  </si>
  <si>
    <t>2026-01-01T18:29:16.135Z</t>
  </si>
  <si>
    <t>rjgDVfG_92yNoLJZFryxB</t>
  </si>
  <si>
    <t>2026-01-01T18:10:06.737Z</t>
  </si>
  <si>
    <t>TRN-X3Z4BGLJ3B8H2ivfuxy0P</t>
  </si>
  <si>
    <t>000008260101180532532302158307</t>
  </si>
  <si>
    <t>2026-01-01T17:05:23.726Z</t>
  </si>
  <si>
    <t>UZghQdkharpQ3F1D2AFT_</t>
  </si>
  <si>
    <t>2026-01-01T16:59:20.911Z</t>
  </si>
  <si>
    <t>5SSXdyzAZF9VJhEbekTZ0</t>
  </si>
  <si>
    <t>2026-01-01T15:18:44.722Z</t>
  </si>
  <si>
    <t>30mBviUNJxoG6UMEtpB4B</t>
  </si>
  <si>
    <t>51.599999999999994</t>
  </si>
  <si>
    <t>2026-01-01T12:26:31.312Z</t>
  </si>
  <si>
    <t>IfQ_16NKOfpKTbBePN9Vn</t>
  </si>
  <si>
    <t>2026-01-01T08:09:18.241Z</t>
  </si>
  <si>
    <t>iCsZHLR9bSvItQ7pdTME4</t>
  </si>
  <si>
    <t>2026-01-01T07:00:23.503Z</t>
  </si>
  <si>
    <t>TST-01/01/2026_2112</t>
  </si>
  <si>
    <t>2026-01-01T01:00:05.682Z</t>
  </si>
  <si>
    <t>oELUck_Xk6vrGb_Dh1zrd</t>
  </si>
  <si>
    <t>2025-12-31T18:43:10.943Z</t>
  </si>
  <si>
    <t>nUMGPHaDuIIPd5Gk9rhv-</t>
  </si>
  <si>
    <t>2025-12-31T13:41:58.602Z</t>
  </si>
  <si>
    <t>TRN-jPAy7fDt1bTDqlPiYao6F</t>
  </si>
  <si>
    <t>000008251231063536736785269308</t>
  </si>
  <si>
    <t>2025-12-31T05:35:27.051Z</t>
  </si>
  <si>
    <t>TST-12/31/2025_2112</t>
  </si>
  <si>
    <t>2025-12-31T01:00:06.657Z</t>
  </si>
  <si>
    <t>yb77uqSKGG4Iqx5qE1gSz</t>
  </si>
  <si>
    <t>2025-12-30T21:19:03.610Z</t>
  </si>
  <si>
    <t>TRN-Q1GvH3dJrfSqtlbtuchzz</t>
  </si>
  <si>
    <t>000008251230221419659447881107</t>
  </si>
  <si>
    <t>2025-12-30T21:14:09.283Z</t>
  </si>
  <si>
    <t>Xp4NvsLLqDmqejvk-_E_y</t>
  </si>
  <si>
    <t>2025-12-30T06:23:30.897Z</t>
  </si>
  <si>
    <t>TST-12/30/2025_2112</t>
  </si>
  <si>
    <t>2025-12-30T01:00:05.676Z</t>
  </si>
  <si>
    <t>Ss3HLW2uQzZbaudrAfZ46</t>
  </si>
  <si>
    <t>2025-12-29T15:33:04.798Z</t>
  </si>
  <si>
    <t>e3dBhODrCXUZqO1gAf7ky</t>
  </si>
  <si>
    <t>2025-12-29T08:13:20.524Z</t>
  </si>
  <si>
    <t>TST-12/29/2025_2112</t>
  </si>
  <si>
    <t>2025-12-29T01:00:04.316Z</t>
  </si>
  <si>
    <t>64OTWgsPRG120-H98XqPs</t>
  </si>
  <si>
    <t>2025-12-28T22:42:11.569Z</t>
  </si>
  <si>
    <t>TRN-cBtcUlSV3Al5frDbUe4kf</t>
  </si>
  <si>
    <t>000008251228103138698444642207</t>
  </si>
  <si>
    <t>2025-12-28T09:31:30.008Z</t>
  </si>
  <si>
    <t>TST-12/27/2025_2112</t>
  </si>
  <si>
    <t>BFS Settlement 12/26/2025</t>
  </si>
  <si>
    <t>2025-12-27T01:00:04.169Z</t>
  </si>
  <si>
    <t>seMifSmiV22WdNympwxfz</t>
  </si>
  <si>
    <t>2025-12-26T22:16:12.466Z</t>
  </si>
  <si>
    <t>J0mgX07hWScKqXr9rnDsN</t>
  </si>
  <si>
    <t>2025-12-26T18:06:45.246Z</t>
  </si>
  <si>
    <t>TRN-FJvMPyOlCiAhU1QgEjTPl</t>
  </si>
  <si>
    <t>000008251226163922962812014207</t>
  </si>
  <si>
    <t>2025-12-26T15:39:14.370Z</t>
  </si>
  <si>
    <t>2IhtNU_I0pMvzR34BhrOi</t>
  </si>
  <si>
    <t>2025-12-26T14:57:44.123Z</t>
  </si>
  <si>
    <t>TRN-jF03UZcVT5WfvhvYi75EY</t>
  </si>
  <si>
    <t>2025-12-26T08:19:44.666Z</t>
  </si>
  <si>
    <t>TST-12/26/2025_2112</t>
  </si>
  <si>
    <t>2025-12-26T01:00:03.759Z</t>
  </si>
  <si>
    <t>RIOXMS7y_bU6Sxi8LEAVK</t>
  </si>
  <si>
    <t>2025-12-25T18:41:11.519Z</t>
  </si>
  <si>
    <t>1T2IwLuE734XQOxhMvwG-</t>
  </si>
  <si>
    <t>2025-12-25T12:51:01.141Z</t>
  </si>
  <si>
    <t>u-GMWU5Wx0IGGc_kjL4zD</t>
  </si>
  <si>
    <t>2025-12-25T12:08:20.605Z</t>
  </si>
  <si>
    <t>mg1y41Z1Sd59B_5IikogV</t>
  </si>
  <si>
    <t>2025-12-25T12:03:41.786Z</t>
  </si>
  <si>
    <t>TRN-6GOkvhPo6XAL6qcmTL8QT</t>
  </si>
  <si>
    <t>000008251225075457097785885707</t>
  </si>
  <si>
    <t>2025-12-25T06:54:49.692Z</t>
  </si>
  <si>
    <t>TST-12/25/2025_2112</t>
  </si>
  <si>
    <t>2025-12-25T01:00:05.520Z</t>
  </si>
  <si>
    <t>ModtTxztanmNdEWxAn0YH</t>
  </si>
  <si>
    <t>2025-12-24T15:26:52.965Z</t>
  </si>
  <si>
    <t>r2ZEmnkeMuBoZmQLRwCgP</t>
  </si>
  <si>
    <t>2025-12-24T14:23:55.537Z</t>
  </si>
  <si>
    <t>yIrnTwOtwk2XvAOinKxq5</t>
  </si>
  <si>
    <t>2025-12-24T11:16:42.279Z</t>
  </si>
  <si>
    <t>czhZOaCQBGXtC4KXk7xPq</t>
  </si>
  <si>
    <t>2025-12-24T08:29:18.585Z</t>
  </si>
  <si>
    <t>TRN-iqv570SYnVohiQGV4Awx-</t>
  </si>
  <si>
    <t>000008251224092355035916018309</t>
  </si>
  <si>
    <t>2025-12-24T08:23:47.447Z</t>
  </si>
  <si>
    <t>s_1J9_4-vhgvp-tMwRDZs</t>
  </si>
  <si>
    <t>2025-12-24T07:45:00.671Z</t>
  </si>
  <si>
    <t>TST-12/24/2025_2112</t>
  </si>
  <si>
    <t>2025-12-24T01:00:12.512Z</t>
  </si>
  <si>
    <t>TvEfZW5CxrsTUWPZXCGRT</t>
  </si>
  <si>
    <t>2025-12-23T19:44:20.021Z</t>
  </si>
  <si>
    <t>kiqpVyBvDipJHHilbSC5M</t>
  </si>
  <si>
    <t>2025-12-23T19:33:59.421Z</t>
  </si>
  <si>
    <t>wjnNHbxYYF14a2vOLMANL</t>
  </si>
  <si>
    <t>2025-12-23T19:24:47.324Z</t>
  </si>
  <si>
    <t>iBUwjSE_2hoX2Npi2xQfM</t>
  </si>
  <si>
    <t>2025-12-23T06:40:32.320Z</t>
  </si>
  <si>
    <t>dl9E7VmrfcjdOMbkWiHKc</t>
  </si>
  <si>
    <t>2025-12-23T06:39:37.287Z</t>
  </si>
  <si>
    <t>TST-12/22/2025_2112</t>
  </si>
  <si>
    <t>2025-12-22T01:00:03.059Z</t>
  </si>
  <si>
    <t>kp8i9P7YuhpEnz4q80N-n</t>
  </si>
  <si>
    <t>2025-12-21T14:58:02.041Z</t>
  </si>
  <si>
    <t>kyfReOKmPHTNmOshS1q2g</t>
  </si>
  <si>
    <t>2025-12-21T13:39:37.607Z</t>
  </si>
  <si>
    <t>TRN-2wubB7_qf5VkYXZtM5Y2D</t>
  </si>
  <si>
    <t>000008251221065224744786467608</t>
  </si>
  <si>
    <t>2025-12-21T05:52:16.014Z</t>
  </si>
  <si>
    <t>TST-12/21/2025_2112</t>
  </si>
  <si>
    <t>BFS Settlement 12/20/2025</t>
  </si>
  <si>
    <t>2025-12-21T01:00:04.853Z</t>
  </si>
  <si>
    <t>AKUIZMn3SJVBIRbMuwI9j</t>
  </si>
  <si>
    <t>2025-12-20T14:23:21.705Z</t>
  </si>
  <si>
    <t>TRN-RYvmay02fXAU62obYsPtK</t>
  </si>
  <si>
    <t>000008251220074443483643703808</t>
  </si>
  <si>
    <t>2025-12-20T06:44:33.333Z</t>
  </si>
  <si>
    <t>TST-12/20/2025_2112</t>
  </si>
  <si>
    <t>BFS Settlement 12/19/2025</t>
  </si>
  <si>
    <t>2025-12-20T01:00:14.110Z</t>
  </si>
  <si>
    <t>ZTAPWTLvp2Qnf84XY2B7W</t>
  </si>
  <si>
    <t>2025-12-19T19:32:07.628Z</t>
  </si>
  <si>
    <t>o7rlLa82gqOZQMw679R05</t>
  </si>
  <si>
    <t>2025-12-19T16:22:23.983Z</t>
  </si>
  <si>
    <t>2025-12-19T10:33:40.765Z</t>
  </si>
  <si>
    <t>ANOeU5UK_r3J0kUWgWKRT</t>
  </si>
  <si>
    <t>2025-12-19T10:30:13.523Z</t>
  </si>
  <si>
    <t>ozJ-0qMao6fsvC3eKjmsA</t>
  </si>
  <si>
    <t>2025-12-19T10:24:36.561Z</t>
  </si>
  <si>
    <t>TST-12/19/2025_2112</t>
  </si>
  <si>
    <t>BFS Settlement 12/18/2025</t>
  </si>
  <si>
    <t>2025-12-19T01:00:13.349Z</t>
  </si>
  <si>
    <t>1DNFtiRIkBAJt_rHIHvsC</t>
  </si>
  <si>
    <t>2025-12-18T17:02:33.680Z</t>
  </si>
  <si>
    <t>Ad23eu2E1saqaS9FpDOS0</t>
  </si>
  <si>
    <t>2025-12-18T10:01:45.322Z</t>
  </si>
  <si>
    <t>TRN-30XzUV9XFyhLrwgWcZaoZ</t>
  </si>
  <si>
    <t>000008251218070627387997078307</t>
  </si>
  <si>
    <t>2025-12-18T06:06:19.286Z</t>
  </si>
  <si>
    <t>TST-12/18/2025_2112</t>
  </si>
  <si>
    <t>BFS Settlement 12/17/2025</t>
  </si>
  <si>
    <t>2025-12-18T01:00:07.812Z</t>
  </si>
  <si>
    <t>hEWWjSD1tjBT5fdRG7tKs</t>
  </si>
  <si>
    <t>2025-12-17T20:08:29.635Z</t>
  </si>
  <si>
    <t>TRN-Tq-3EL1mD_XcHVK-0KKfz</t>
  </si>
  <si>
    <t>2025-12-17T16:26:30.822Z</t>
  </si>
  <si>
    <t>TRN-o1POIdaqI3CBv8f6iZbK5</t>
  </si>
  <si>
    <t>2025-12-17T09:20:51.232Z</t>
  </si>
  <si>
    <t>TST-12/17/2025_2112</t>
  </si>
  <si>
    <t>BFS Settlement 12/16/2025</t>
  </si>
  <si>
    <t>2025-12-17T01:00:06.848Z</t>
  </si>
  <si>
    <t>TRN-lCCMwDRE2GOFHETTlSqbw</t>
  </si>
  <si>
    <t>2025-12-16T22:36:26.447Z</t>
  </si>
  <si>
    <t>TRN-pUH6hchp_wjxeqDvxuG8K</t>
  </si>
  <si>
    <t>2025-12-16T19:18:07.646Z</t>
  </si>
  <si>
    <t>fVhNleGWaT1edfeDw4tAp</t>
  </si>
  <si>
    <t>2025-12-16T12:17:11.030Z</t>
  </si>
  <si>
    <t>TRN-01v85MszrYtfpX9IOGDiw</t>
  </si>
  <si>
    <t>2025-12-16T10:28:44.309Z</t>
  </si>
  <si>
    <t>TRN-B7JfmvvA9P_EVL8q86aVz</t>
  </si>
  <si>
    <t>2025-12-16T06:27:07.300Z</t>
  </si>
  <si>
    <t>TST-12/16/2025_2112</t>
  </si>
  <si>
    <t>BFS Settlement 12/15/2025</t>
  </si>
  <si>
    <t>2025-12-16T01:00:13.568Z</t>
  </si>
  <si>
    <t>GhbOiYC4j0hU0s38adbq4</t>
  </si>
  <si>
    <t>2025-12-15T19:59:15.439Z</t>
  </si>
  <si>
    <t>TRN-w_Ut2gl5MdQJZ6vA-HyG3</t>
  </si>
  <si>
    <t>2025-12-15T15:14:23.418Z</t>
  </si>
  <si>
    <t>TRN-_NBkX-bn1i70EPm7uHIna</t>
  </si>
  <si>
    <t>2025-12-15T11:58:26.576Z</t>
  </si>
  <si>
    <t>TRN-5PfYhbI9KsQeV44oVpAo_</t>
  </si>
  <si>
    <t>2025-12-15T11:34:46.594Z</t>
  </si>
  <si>
    <t>TRN-2SWx8OMKERs7OAXM3zdqN</t>
  </si>
  <si>
    <t>2025-12-15T11:30:47.191Z</t>
  </si>
  <si>
    <t>TST-12/15/2025_2112</t>
  </si>
  <si>
    <t>2025-12-15T01:00:10.480Z</t>
  </si>
  <si>
    <t>kjlu8IFPOzOPj9M4-fGcJ</t>
  </si>
  <si>
    <t>2025-12-14T17:53:41.994Z</t>
  </si>
  <si>
    <t>Ht-FkY15EgLJSAxoS-ppK</t>
  </si>
  <si>
    <t>2025-12-14T17:52:49.280Z</t>
  </si>
  <si>
    <t>1VobZs-ykqAubJQ5KzKZd</t>
  </si>
  <si>
    <t>2025-12-14T16:50:03.944Z</t>
  </si>
  <si>
    <t>TRN-JOdJO8q6ZElSKTU_E3Y2v</t>
  </si>
  <si>
    <t>000008251213082524124395220709</t>
  </si>
  <si>
    <t>2025-12-13T07:25:16.641Z</t>
  </si>
  <si>
    <t>TST-12/13/2025_2112</t>
  </si>
  <si>
    <t>2025-12-13T01:00:07.459Z</t>
  </si>
  <si>
    <t>Fcg_ECJi4RqS3cQDr_USC</t>
  </si>
  <si>
    <t>2025-12-12T21:32:35.556Z</t>
  </si>
  <si>
    <t>1nLd663GhTeNX-p2ly0PG</t>
  </si>
  <si>
    <t>2025-12-12T16:29:41.595Z</t>
  </si>
  <si>
    <t>TRN-ao3fRfDikxWlN55xEdfOI</t>
  </si>
  <si>
    <t>000008251212130854734437397909</t>
  </si>
  <si>
    <t>2025-12-12T12:08:42.496Z</t>
  </si>
  <si>
    <t>TST-12/12/2025_2112</t>
  </si>
  <si>
    <t>2025-12-12T01:00:07.818Z</t>
  </si>
  <si>
    <t>VfDIj9w-6EzUJQTKhGYHO</t>
  </si>
  <si>
    <t>2025-12-11T18:42:29.095Z</t>
  </si>
  <si>
    <t>_NVGw3ru_N6PAP7HqD9XG</t>
  </si>
  <si>
    <t>2025-12-11T10:52:10.946Z</t>
  </si>
  <si>
    <t>TST-12/11/2025_2112</t>
  </si>
  <si>
    <t>BFS Settlement 12/10/2025</t>
  </si>
  <si>
    <t>2025-12-11T01:00:09.169Z</t>
  </si>
  <si>
    <t>s4iJjmGB7nHCSLUBj-xUA</t>
  </si>
  <si>
    <t>2025-12-10T15:04:38.801Z</t>
  </si>
  <si>
    <t>2_mOXJ-BOUVuHN-932uAe</t>
  </si>
  <si>
    <t>2025-12-10T10:50:13.126Z</t>
  </si>
  <si>
    <t>b25G08NKoGQ32UUqICdaq</t>
  </si>
  <si>
    <t>2025-12-10T07:23:21.402Z</t>
  </si>
  <si>
    <t>TST-12/10/2025_2112</t>
  </si>
  <si>
    <t>2025-12-10T01:00:08.154Z</t>
  </si>
  <si>
    <t>hXiTmN4AfM7zCMnVnkZ40</t>
  </si>
  <si>
    <t>2025-12-09T11:52:38.976Z</t>
  </si>
  <si>
    <t>TRN-c8vkmARJl4mIGsbJdMXgF</t>
  </si>
  <si>
    <t>000008251208220438278793119807</t>
  </si>
  <si>
    <t>2025-12-08T21:04:30.466Z</t>
  </si>
  <si>
    <t>TST-12/06/2025_2112</t>
  </si>
  <si>
    <t>2025-12-06T01:00:25.942Z</t>
  </si>
  <si>
    <t>3a8YRLqN0hvvt3cCLZL9l</t>
  </si>
  <si>
    <t>2025-12-05T08:44:52.000Z</t>
  </si>
  <si>
    <t>TRN-Rz9ACNuptX-6bvoN0pIH0</t>
  </si>
  <si>
    <t>000008251205073759079516569508</t>
  </si>
  <si>
    <t>2025-12-05T06:37:51.510Z</t>
  </si>
  <si>
    <t>eon5CwlRG-WDG9HsQCnpi</t>
  </si>
  <si>
    <t>2025-12-05T06:24:49.565Z</t>
  </si>
  <si>
    <t>TST-12/05/2025_2112</t>
  </si>
  <si>
    <t>2025-12-05T01:00:08.649Z</t>
  </si>
  <si>
    <t>hNMp544BDZ5m0nlpsbLoA</t>
  </si>
  <si>
    <t>2025-12-04T15:14:49.171Z</t>
  </si>
  <si>
    <t>Wwm6IrMskFg7EMyEfZWjw</t>
  </si>
  <si>
    <t>2025-12-04T14:47:51.201Z</t>
  </si>
  <si>
    <t>TRN--pxsPHoqn71MVdCY6PANv</t>
  </si>
  <si>
    <t>000008251204131932172526601608</t>
  </si>
  <si>
    <t>2025-12-04T12:19:24.197Z</t>
  </si>
  <si>
    <t>0FFMCxlxP5ZMbDdm8GgY2</t>
  </si>
  <si>
    <t>2025-12-04T11:02:43.301Z</t>
  </si>
  <si>
    <t>TST-12/04/2025_2112</t>
  </si>
  <si>
    <t>2025-12-04T01:00:14.542Z</t>
  </si>
  <si>
    <t>Xcesk3vnxHdllegpaIOtm</t>
  </si>
  <si>
    <t>2025-12-03T15:06:13.991Z</t>
  </si>
  <si>
    <t>TRN-45fSTR5_qrI7eFdGiflSt</t>
  </si>
  <si>
    <t>000008251203064617177704964909</t>
  </si>
  <si>
    <t>2025-12-03T05:46:09.702Z</t>
  </si>
  <si>
    <t>TST-12/03/2025_2112</t>
  </si>
  <si>
    <t>2025-12-03T01:00:09.296Z</t>
  </si>
  <si>
    <t>R2jj_UpFSDLT2awaNa7VU</t>
  </si>
  <si>
    <t>2025-12-02T17:13:56.850Z</t>
  </si>
  <si>
    <t>0cZ5OKql9HqLp7ow4A5b4</t>
  </si>
  <si>
    <t>2025-12-02T11:51:10.796Z</t>
  </si>
  <si>
    <t>GRKkU40-waFHDEyIcU7__</t>
  </si>
  <si>
    <t>2025-12-02T11:04:43.584Z</t>
  </si>
  <si>
    <t>KhSznAicTCBWpOaenbSGi</t>
  </si>
  <si>
    <t>2025-12-02T09:31:22.848Z</t>
  </si>
  <si>
    <t>VokBrDLhp_QP4yq0L8CHY</t>
  </si>
  <si>
    <t>2025-12-02T09:26:17.697Z</t>
  </si>
  <si>
    <t>TRN-HXIf7fZLfjmOgDl1M-aPu</t>
  </si>
  <si>
    <t>000008251201074156716145524309</t>
  </si>
  <si>
    <t>2025-12-01T06:41:46.124Z</t>
  </si>
  <si>
    <t>TST-12/01/2025_2112</t>
  </si>
  <si>
    <t>BFS Settlement 11/30/2025</t>
  </si>
  <si>
    <t>2025-12-01T01:00:07.013Z</t>
  </si>
  <si>
    <t>aTWcMo7GcWPfO22a98Jyq</t>
  </si>
  <si>
    <t>2025-11-30T15:20:13.135Z</t>
  </si>
  <si>
    <t>0kNDeV0MKOV0dQd95spIl</t>
  </si>
  <si>
    <t>2025-11-30T15:09:57.809Z</t>
  </si>
  <si>
    <t>biuj_nSYv2ps9o3Y1nh_u</t>
  </si>
  <si>
    <t>2025-11-30T14:22:45.797Z</t>
  </si>
  <si>
    <t>3ZaBKR7kdWw01IpggMoMu</t>
  </si>
  <si>
    <t>2025-11-30T12:36:12.603Z</t>
  </si>
  <si>
    <t>ojI6wcvFUoKj1q_fMD4xb</t>
  </si>
  <si>
    <t>2025-11-30T07:22:51.501Z</t>
  </si>
  <si>
    <t>ocb2wTuAeXJPwuQvP1bk4</t>
  </si>
  <si>
    <t>2025-11-30T07:21:03.824Z</t>
  </si>
  <si>
    <t>r39trpvZWZdU4MwL4FkNw</t>
  </si>
  <si>
    <t>2025-11-30T07:14:23.294Z</t>
  </si>
  <si>
    <t>TST-11/30/2025_2112</t>
  </si>
  <si>
    <t>2025-11-30T01:00:06.993Z</t>
  </si>
  <si>
    <t>4l9hLa_FxT6JMzHobKLKq</t>
  </si>
  <si>
    <t>2025-11-29T21:14:19.734Z</t>
  </si>
  <si>
    <t>2025-11-29T21:11:21.893Z</t>
  </si>
  <si>
    <t>GrD3HwzESh3VbxS-a8Z_P</t>
  </si>
  <si>
    <t>2025-11-29T20:31:14.933Z</t>
  </si>
  <si>
    <t>Egzs_6Iy5JpoVUla8sLCR</t>
  </si>
  <si>
    <t>2025-11-29T20:28:42.371Z</t>
  </si>
  <si>
    <t>oe-L_M8mvrUzVcWvmwTMx</t>
  </si>
  <si>
    <t>2025-11-29T18:30:37.349Z</t>
  </si>
  <si>
    <t>TRN-Lm8G1bOc9zDZbLcXEYWAK</t>
  </si>
  <si>
    <t>000008251128090512512444574309</t>
  </si>
  <si>
    <t>2025-11-28T08:05:04.630Z</t>
  </si>
  <si>
    <t>TST-11/28/2025_2112</t>
  </si>
  <si>
    <t>2025-11-28T01:00:05.745Z</t>
  </si>
  <si>
    <t>5uSQ9p_3ilvF0Q7O8jusG</t>
  </si>
  <si>
    <t>2025-11-27T19:25:06.857Z</t>
  </si>
  <si>
    <t>f-tkO8RXVsY2Bpk4IjTle</t>
  </si>
  <si>
    <t>2025-11-27T14:25:40.017Z</t>
  </si>
  <si>
    <t>2w3WUpabfdY7O9maD_4LF</t>
  </si>
  <si>
    <t>2025-11-27T12:55:52.841Z</t>
  </si>
  <si>
    <t>eLJKzmzQQA7fzi2hEoM89</t>
  </si>
  <si>
    <t>2025-11-27T10:29:55.006Z</t>
  </si>
  <si>
    <t>3vsYK9Wf8d12Yiq9VMaoQ</t>
  </si>
  <si>
    <t>2025-11-27T10:06:18.096Z</t>
  </si>
  <si>
    <t>TRN-F4fuP6JYw41IFquZlaL_H</t>
  </si>
  <si>
    <t>000008251125131201121679268309</t>
  </si>
  <si>
    <t>2025-11-25T12:11:50.425Z</t>
  </si>
  <si>
    <t>TST-11/25/2025_2112</t>
  </si>
  <si>
    <t>2025-11-25T01:00:04.361Z</t>
  </si>
  <si>
    <t>QOZZZl7qoJqY1zEszwNHM</t>
  </si>
  <si>
    <t>2025-11-24T21:12:32.761Z</t>
  </si>
  <si>
    <t>4BlkFn-MdXpk9h6XufeP3</t>
  </si>
  <si>
    <t>2025-11-24T19:14:17.444Z</t>
  </si>
  <si>
    <t>mGuKGZKMZ-R_8W_q1hboj</t>
  </si>
  <si>
    <t>2025-11-24T16:29:45.434Z</t>
  </si>
  <si>
    <t>TRN-8MK1awnGAD-fPmBl6OKN4</t>
  </si>
  <si>
    <t>000008251124172516916748123608</t>
  </si>
  <si>
    <t>2025-11-24T16:25:07.891Z</t>
  </si>
  <si>
    <t>TST-11/24/2025_2112</t>
  </si>
  <si>
    <t>2025-11-24T01:00:06.055Z</t>
  </si>
  <si>
    <t>TRN-g07QN4NUTwMJ88shz1f2n</t>
  </si>
  <si>
    <t>000008251123211026026421465309</t>
  </si>
  <si>
    <t>2025-11-23T20:10:15.568Z</t>
  </si>
  <si>
    <t>03t8YSedrxLu47BAzDTAs</t>
  </si>
  <si>
    <t>2025-11-23T19:53:31.303Z</t>
  </si>
  <si>
    <t>Uet5YvlCz0AcwZFkH-0AS</t>
  </si>
  <si>
    <t>2025-11-23T15:43:16.866Z</t>
  </si>
  <si>
    <t>TST-11/23/2025_2112</t>
  </si>
  <si>
    <t>2025-11-23T01:00:06.137Z</t>
  </si>
  <si>
    <t>kNbp_MIGSwsL38ly-l9-Z</t>
  </si>
  <si>
    <t>2025-11-22T17:21:41.289Z</t>
  </si>
  <si>
    <t>9KSbmKTXDO_9sPSuLVB1K</t>
  </si>
  <si>
    <t>2025-11-22T15:41:10.560Z</t>
  </si>
  <si>
    <t>Lt7IBAYCsVznyjeVyt3jb</t>
  </si>
  <si>
    <t>2025-11-22T15:14:03.008Z</t>
  </si>
  <si>
    <t>TST-11/22/2025_2112</t>
  </si>
  <si>
    <t>2025-11-22T01:00:04.397Z</t>
  </si>
  <si>
    <t>TRN-XveDEXqhgNAqPRCd6XtXq</t>
  </si>
  <si>
    <t>000008251121093619579364943809</t>
  </si>
  <si>
    <t>2025-11-21T08:36:08.775Z</t>
  </si>
  <si>
    <t>2025-11-21T07:26:50.321Z</t>
  </si>
  <si>
    <t>TST-11/21/2025_2112</t>
  </si>
  <si>
    <t>2025-11-21T01:00:04.399Z</t>
  </si>
  <si>
    <t>nvTTQ_XAKVy_bf98zXr05</t>
  </si>
  <si>
    <t>2025-11-20T19:35:06.639Z</t>
  </si>
  <si>
    <t>avnSv4ajnkSSH8odyeTGU</t>
  </si>
  <si>
    <t>2025-11-20T15:47:46.779Z</t>
  </si>
  <si>
    <t>TRN-lZZ0O1qFGohNVsyjD5uk-</t>
  </si>
  <si>
    <t>000008251120162006406255683009</t>
  </si>
  <si>
    <t>2025-11-20T15:19:57.212Z</t>
  </si>
  <si>
    <t>2kAghKg0PiO6kFIveglz8</t>
  </si>
  <si>
    <t>107.49999999999999</t>
  </si>
  <si>
    <t>2025-11-20T14:43:39.011Z</t>
  </si>
  <si>
    <t>NBoBusxiKUAoWr-RbF9vw</t>
  </si>
  <si>
    <t>2025-11-20T14:25:08.308Z</t>
  </si>
  <si>
    <t>0_aMIrQQh5WeEk3LPQUkw</t>
  </si>
  <si>
    <t>2025-11-20T09:41:55.983Z</t>
  </si>
  <si>
    <t>OjY3Gg5Kk2ww7_IP9XAas</t>
  </si>
  <si>
    <t>2025-11-20T09:23:03.384Z</t>
  </si>
  <si>
    <t>TST-11/20/2025_2112</t>
  </si>
  <si>
    <t>BFS Settlement 11/19/2025</t>
  </si>
  <si>
    <t>2025-11-20T01:00:05.890Z</t>
  </si>
  <si>
    <t>OvrBR5WHXtGkBK-chHcvj</t>
  </si>
  <si>
    <t>2025-11-19T14:57:29.247Z</t>
  </si>
  <si>
    <t>TRN-268C4J2A6BH90IECE86BA11E245AFD51</t>
  </si>
  <si>
    <t>2025-11-19T14:04:38.197Z</t>
  </si>
  <si>
    <t>2025-11-19T13:15:30.669Z</t>
  </si>
  <si>
    <t>TRN-AJ7JI9E94641036CC7H6962E5IF76CBC</t>
  </si>
  <si>
    <t>2025-11-19T13:12:51.165Z</t>
  </si>
  <si>
    <t>TRN-C5JKD9ABB93I9C216GKAFE3KD2EG4HA4</t>
  </si>
  <si>
    <t>2025-11-19T13:12:51.159Z</t>
  </si>
  <si>
    <t>TRN-H6DD0GDCA49EH90I579CA92A12EK4KAE</t>
  </si>
  <si>
    <t>2025-11-19T12:59:48.107Z</t>
  </si>
  <si>
    <t>TRN-3420JIJG2BC9F3ECC97II3CJAK133A6J</t>
  </si>
  <si>
    <t>2025-11-19T12:50:10.720Z</t>
  </si>
  <si>
    <t>TRN-5I317GC3FGJ9KBB9I6GKAG2I6K450B7C</t>
  </si>
  <si>
    <t>2025-11-19T12:50:10.711Z</t>
  </si>
  <si>
    <t>TST-11/19/2025_2112</t>
  </si>
  <si>
    <t>2025-11-19T01:00:06.710Z</t>
  </si>
  <si>
    <t>lcmuZohjPHkTutDjPEAfq</t>
  </si>
  <si>
    <t>2025-11-18T11:17:16.505Z</t>
  </si>
  <si>
    <t>gwHZM9WaJrOPpL1coeagi</t>
  </si>
  <si>
    <t>2025-11-18T10:59:27.089Z</t>
  </si>
  <si>
    <t>5-0v8jv1IRvGsxGAPXruK</t>
  </si>
  <si>
    <t>2025-11-18T09:46:14.568Z</t>
  </si>
  <si>
    <t>TRN-qQG9fTvXC97A0NsynlFcY</t>
  </si>
  <si>
    <t>2025-11-18T09:07:14.567Z</t>
  </si>
  <si>
    <t>TST-11/18/2025_2112</t>
  </si>
  <si>
    <t>BFS Settlement 11/17/2025</t>
  </si>
  <si>
    <t>2025-11-18T01:00:06.168Z</t>
  </si>
  <si>
    <t>Kli6GeMJ1jARWgl1C_6t2</t>
  </si>
  <si>
    <t>2025-11-17T10:55:28.174Z</t>
  </si>
  <si>
    <t>TST-11/17/2025_2112</t>
  </si>
  <si>
    <t>BFS Settlement 11/16/2025</t>
  </si>
  <si>
    <t>2025-11-17T01:00:04.930Z</t>
  </si>
  <si>
    <t>XqajAwSYLZMPGDPJxBoEj</t>
  </si>
  <si>
    <t>2025-11-16T18:26:26.108Z</t>
  </si>
  <si>
    <t>mvpgZTm_r-PpH6rNGFxNp</t>
  </si>
  <si>
    <t>2025-11-16T14:41:16.837Z</t>
  </si>
  <si>
    <t>2tt2EWVb192kR9D7yyMAe</t>
  </si>
  <si>
    <t>2025-11-16T13:57:29.800Z</t>
  </si>
  <si>
    <t>TST-11/16/2025_2112</t>
  </si>
  <si>
    <t>BFS Settlement 11/15/2025</t>
  </si>
  <si>
    <t>2025-11-16T01:00:04.098Z</t>
  </si>
  <si>
    <t>2025-11-15T15:11:32.247Z</t>
  </si>
  <si>
    <t>TRN-cwOJ6MZprto-0Q__E_69-</t>
  </si>
  <si>
    <t>000008251115145716436526673209</t>
  </si>
  <si>
    <t>2025-11-15T13:57:07.420Z</t>
  </si>
  <si>
    <t>4WzjQTbqTpoweUZW_ybmW</t>
  </si>
  <si>
    <t>2025-11-15T12:50:33.197Z</t>
  </si>
  <si>
    <t>TST-11/15/2025_2112</t>
  </si>
  <si>
    <t>BFS Settlement 11/14/2025</t>
  </si>
  <si>
    <t>2025-11-15T01:00:05.237Z</t>
  </si>
  <si>
    <t>IUl1oiW3A59EuTtUknsHA</t>
  </si>
  <si>
    <t>2025-11-14T19:16:27.003Z</t>
  </si>
  <si>
    <t>TST-11/14/2025_2112</t>
  </si>
  <si>
    <t>2025-11-14T01:00:05.343Z</t>
  </si>
  <si>
    <t>oAo9DvO4lJ8X3swnV7_G7</t>
  </si>
  <si>
    <t>2025-11-13T15:51:39.448Z</t>
  </si>
  <si>
    <t>TST-11/13/2025_2112</t>
  </si>
  <si>
    <t>2025-11-13T01:00:05.788Z</t>
  </si>
  <si>
    <t>tXvp6b7gjHHX-R2jLqETH</t>
  </si>
  <si>
    <t>2025-11-12T21:19:34.402Z</t>
  </si>
  <si>
    <t>FS-x6itT5kX5Ii84gfqiA</t>
  </si>
  <si>
    <t>2025-11-12T19:41:07.534Z</t>
  </si>
  <si>
    <t>MrHKzDkiS9AULiPp8bBDL</t>
  </si>
  <si>
    <t>2025-11-12T16:04:29.539Z</t>
  </si>
  <si>
    <t>J2e9HiB4Itk4B7lAR2JBG</t>
  </si>
  <si>
    <t>2025-11-12T13:46:18.307Z</t>
  </si>
  <si>
    <t>iHP5Y1gR7dL05L-_TnByZ</t>
  </si>
  <si>
    <t>2025-11-12T11:12:10.164Z</t>
  </si>
  <si>
    <t>ggrIz63pjI53HZkiz8dDi</t>
  </si>
  <si>
    <t>2025-11-12T09:21:31.058Z</t>
  </si>
  <si>
    <t>pXTgXO4d9HMtnsOlPK7in</t>
  </si>
  <si>
    <t>2025-11-12T09:19:17.610Z</t>
  </si>
  <si>
    <t>TST-11/12/2025_2112</t>
  </si>
  <si>
    <t>2025-11-12T01:00:05.553Z</t>
  </si>
  <si>
    <t>xYipG2ZZf0O2v6m9neHk1</t>
  </si>
  <si>
    <t>2025-11-11T19:03:38.230Z</t>
  </si>
  <si>
    <t>TST-11/11/2025_2112</t>
  </si>
  <si>
    <t>2025-11-11T01:00:04.338Z</t>
  </si>
  <si>
    <t>69psjpCIIEz3EVlk5kM2z</t>
  </si>
  <si>
    <t>2025-11-10T17:56:06.441Z</t>
  </si>
  <si>
    <t>TRN-BLtzc7LJWm4Zl34G83ula</t>
  </si>
  <si>
    <t>000008251110072126086878639507</t>
  </si>
  <si>
    <t>2025-11-10T06:21:17.990Z</t>
  </si>
  <si>
    <t>TST-11/10/2025_2112</t>
  </si>
  <si>
    <t>BFS Settlement 11/9/2025</t>
  </si>
  <si>
    <t>2025-11-10T01:00:02.579Z</t>
  </si>
  <si>
    <t>KDQni8xLA1KpJceN3eZ1f</t>
  </si>
  <si>
    <t>2025-11-09T19:28:01.550Z</t>
  </si>
  <si>
    <t>lqowWQguNTRS12fDujnDi</t>
  </si>
  <si>
    <t>2025-11-09T14:57:16.175Z</t>
  </si>
  <si>
    <t>YF79idNlxukwH3-L-AY5R</t>
  </si>
  <si>
    <t>2025-11-09T14:35:38.267Z</t>
  </si>
  <si>
    <t>TRN-ztCyAvTmqFG1NiXUN39Nl</t>
  </si>
  <si>
    <t>000008251109060031831399794408</t>
  </si>
  <si>
    <t>2025-11-09T05:00:15.475Z</t>
  </si>
  <si>
    <t>TST-11/09/2025_2112</t>
  </si>
  <si>
    <t>2025-11-09T01:00:03.015Z</t>
  </si>
  <si>
    <t>blmSabHuFpi_xUzXqyMeA</t>
  </si>
  <si>
    <t>2025-11-08T19:58:09.627Z</t>
  </si>
  <si>
    <t>6OAcwZNVBKvz_o_jhjZaK</t>
  </si>
  <si>
    <t>2025-11-08T17:06:18.160Z</t>
  </si>
  <si>
    <t>TRN-QbGc5PuPnRa5yXvGRLAFc</t>
  </si>
  <si>
    <t>000008251108165003403805052909</t>
  </si>
  <si>
    <t>2025-11-08T15:49:54.380Z</t>
  </si>
  <si>
    <t>n9UewMsFUlFkE5xZTWILi</t>
  </si>
  <si>
    <t>2025-11-08T15:46:10.799Z</t>
  </si>
  <si>
    <t>qMxTw3u5S9uHy0gNzI-fQ</t>
  </si>
  <si>
    <t>2025-11-08T12:16:52.707Z</t>
  </si>
  <si>
    <t>lUM21P9-akGH3prJiDEyz</t>
  </si>
  <si>
    <t>2025-11-08T08:43:49.047Z</t>
  </si>
  <si>
    <t>3adXbpSm0SK7YroMlKBiV</t>
  </si>
  <si>
    <t>2025-11-08T08:04:55.734Z</t>
  </si>
  <si>
    <t>TST-11/08/2025_2112</t>
  </si>
  <si>
    <t>2025-11-08T01:00:04.407Z</t>
  </si>
  <si>
    <t>xSmjfaMQa6v7kmXQQvzl0</t>
  </si>
  <si>
    <t>2025-11-07T20:26:28.577Z</t>
  </si>
  <si>
    <t>CW8APeRr10qyeV8qjtQ1Z</t>
  </si>
  <si>
    <t>2025-11-07T09:06:38.202Z</t>
  </si>
  <si>
    <t>Rn2s5SIX7UgcuuD8VPjON</t>
  </si>
  <si>
    <t>2025-11-07T09:04:19.369Z</t>
  </si>
  <si>
    <t>TRN-e7W29J7EIEbchOnIfhuy0</t>
  </si>
  <si>
    <t>000008251107091151511571723508</t>
  </si>
  <si>
    <t>2025-11-07T08:11:41.663Z</t>
  </si>
  <si>
    <t>TST-11/07/2025_2112</t>
  </si>
  <si>
    <t>BFS Settlement 11/6/2025</t>
  </si>
  <si>
    <t>2025-11-07T01:00:03.412Z</t>
  </si>
  <si>
    <t>SQcGPrABB1vRDyninRXav</t>
  </si>
  <si>
    <t>2025-11-06T14:27:03.820Z</t>
  </si>
  <si>
    <t>d9OP3-TtSQe1ovYYfv1Xv</t>
  </si>
  <si>
    <t>2025-11-06T14:25:49.764Z</t>
  </si>
  <si>
    <t>TST-11/06/2025_2112</t>
  </si>
  <si>
    <t>2025-11-06T01:00:02.593Z</t>
  </si>
  <si>
    <t>O6QtttAWTVEul_jgKXgtc</t>
  </si>
  <si>
    <t>2025-11-05T18:37:42.085Z</t>
  </si>
  <si>
    <t>PAn6yFguh4V2P45YzgC5G</t>
  </si>
  <si>
    <t>2025-11-05T18:36:26.936Z</t>
  </si>
  <si>
    <t>XsbMNNgrPpEK-0kpqrV4y</t>
  </si>
  <si>
    <t>2025-11-05T16:40:16.004Z</t>
  </si>
  <si>
    <t>TRN-3YwHu_NqyqWK87Y7mAqGq</t>
  </si>
  <si>
    <t>000008251105093139899510306808</t>
  </si>
  <si>
    <t>2025-11-05T08:31:30.933Z</t>
  </si>
  <si>
    <t>TST-11/05/2025_2112</t>
  </si>
  <si>
    <t>2025-11-05T01:00:03.186Z</t>
  </si>
  <si>
    <t>gc-5LLBzJKfvzdaaC48oJ</t>
  </si>
  <si>
    <t>2025-11-04T20:43:20.742Z</t>
  </si>
  <si>
    <t>TRN-YmuS0MedIkvfL_BVvxzFo</t>
  </si>
  <si>
    <t>000008251104212812492475595309</t>
  </si>
  <si>
    <t>2025-11-04T20:28:04.614Z</t>
  </si>
  <si>
    <t>D0VeWC-LYHBf9Fev07X7V</t>
  </si>
  <si>
    <t>2025-11-04T20:25:34.149Z</t>
  </si>
  <si>
    <t>TST-11/04/2025_2112</t>
  </si>
  <si>
    <t>2025-11-04T01:00:02.571Z</t>
  </si>
  <si>
    <t>5cAW7U7YM2Wl2HeFiSefk</t>
  </si>
  <si>
    <t>2025-11-03T12:54:24.254Z</t>
  </si>
  <si>
    <t>TRN-Mcc3aXk2Kz3NYIESN-Wja</t>
  </si>
  <si>
    <t>000008251103094330810257084507</t>
  </si>
  <si>
    <t>2025-11-03T08:43:21.383Z</t>
  </si>
  <si>
    <t>TST-11/02/2025_2112</t>
  </si>
  <si>
    <t>BFS Settlement 11/1/2025</t>
  </si>
  <si>
    <t>2025-11-02T01:00:03.263Z</t>
  </si>
  <si>
    <t>KJ4At5rxXnlhDjk3y_O1w</t>
  </si>
  <si>
    <t>2025-11-01T16:46:21.998Z</t>
  </si>
  <si>
    <t>F_rStsxb6lJmQtdltMO5C</t>
  </si>
  <si>
    <t>2025-11-01T14:09:32.789Z</t>
  </si>
  <si>
    <t>TRN-G3040J63AB1F6H67E3FEA6EF7KGGI8A4</t>
  </si>
  <si>
    <t>2025-11-01T01:03:24.260Z</t>
  </si>
  <si>
    <t>jsFXQ27d4Z_r-OxaugsUE</t>
  </si>
  <si>
    <t>2025-10-31T14:04:59.880Z</t>
  </si>
  <si>
    <t>R5mOtMUrr3ICyJJ_aKAqx</t>
  </si>
  <si>
    <t>2025-10-31T14:03:27.849Z</t>
  </si>
  <si>
    <t>TST-10/31/2025_2112</t>
  </si>
  <si>
    <t>BFS Settlement 10/30/2025</t>
  </si>
  <si>
    <t>2025-10-31T01:00:03.841Z</t>
  </si>
  <si>
    <t>LUNphZM7JvxWu5ozax_4n</t>
  </si>
  <si>
    <t>2025-10-30T17:06:03.105Z</t>
  </si>
  <si>
    <t>TRN-IMh43ApsFaQLktnGoxBLX</t>
  </si>
  <si>
    <t>000008251028154611171032494807</t>
  </si>
  <si>
    <t>2025-10-28T14:46:01.187Z</t>
  </si>
  <si>
    <t>TRN-OoKTXHrykUXYCVEP7mw6F</t>
  </si>
  <si>
    <t>000008251027072739859804832907</t>
  </si>
  <si>
    <t>2025-10-27T06:27:30.895Z</t>
  </si>
  <si>
    <t>TST-10/27/2025_2112</t>
  </si>
  <si>
    <t>BFS Settlement 10/26/2025</t>
  </si>
  <si>
    <t>2025-10-27T01:00:01.902Z</t>
  </si>
  <si>
    <t>UOnv0q155V7KnDAN9EOJH</t>
  </si>
  <si>
    <t>2025-10-26T16:08:19.862Z</t>
  </si>
  <si>
    <t>TXnpg8Uz6U31dXhcSD1iQ</t>
  </si>
  <si>
    <t>2025-10-26T14:23:30.716Z</t>
  </si>
  <si>
    <t>FBuO3QHlZakzrLT1n1XGW</t>
  </si>
  <si>
    <t>2025-10-26T06:23:49.625Z</t>
  </si>
  <si>
    <t>TST-10/26/2025_2112</t>
  </si>
  <si>
    <t>2025-10-26T01:00:02.541Z</t>
  </si>
  <si>
    <t>xZpWqtX6mosusPIT-QO3Y</t>
  </si>
  <si>
    <t>2025-10-25T16:15:12.582Z</t>
  </si>
  <si>
    <t>Vs2U5E2st0Py4q6SYfGIR</t>
  </si>
  <si>
    <t>2025-10-25T15:40:15.760Z</t>
  </si>
  <si>
    <t>TRN-ervqjN9bTUpG0NjLztX1k</t>
  </si>
  <si>
    <t>000008251025144948588168416107</t>
  </si>
  <si>
    <t>2025-10-25T13:49:37.271Z</t>
  </si>
  <si>
    <t>TST-10/25/2025_2112</t>
  </si>
  <si>
    <t>BFS Settlement 10/24/2025</t>
  </si>
  <si>
    <t>2025-10-25T01:00:04.162Z</t>
  </si>
  <si>
    <t>XV1RWJuTFnxJYsK8olfsU</t>
  </si>
  <si>
    <t>2025-10-24T17:45:07.400Z</t>
  </si>
  <si>
    <t>ckVCJOkKAZvtpszCrTjzq</t>
  </si>
  <si>
    <t>2025-10-24T17:07:38.748Z</t>
  </si>
  <si>
    <t>TRN-1196J28JH2HA4DJ57B472B23I7841KDF</t>
  </si>
  <si>
    <t>2025-10-19T08:59:08.844Z</t>
  </si>
  <si>
    <t>TRN-GJBIK8FD755IFA1KGCH915B2HICFF62G</t>
  </si>
  <si>
    <t>2025-10-18T20:53:31.050Z</t>
  </si>
  <si>
    <t>TRN-EI0IEBDGB2454D2IK895DAGHJ3CK4H51</t>
  </si>
  <si>
    <t>2025-10-18T20:53:31.047Z</t>
  </si>
  <si>
    <t>TRN-QiwvgYrrd_yRps69nAqtm</t>
  </si>
  <si>
    <t>2025-10-18T20:44:56.712Z</t>
  </si>
  <si>
    <t>TST-10/13/2025_2112</t>
  </si>
  <si>
    <t>BFS Settlement 10/12/2025</t>
  </si>
  <si>
    <t>2025-10-13T01:00:02.002Z</t>
  </si>
  <si>
    <t>riUZqAU1nbFVq6w4ILo9z</t>
  </si>
  <si>
    <t>2025-10-12T07:02:16.245Z</t>
  </si>
  <si>
    <t>TRN-JA1G9GE40B7C49F8DB443ECBGGF0931E</t>
  </si>
  <si>
    <t>2025-10-11T14:50:19.393Z</t>
  </si>
  <si>
    <t>TRN-IF0FGD636J3A1H15GH0G6EDFGB7IE4C6</t>
  </si>
  <si>
    <t>2025-10-11T08:50:55.946Z</t>
  </si>
  <si>
    <t>TRN-IBJFJ84KAC4B703G01IH1B4AF26HG74J</t>
  </si>
  <si>
    <t>2025-10-11T08:50:55.943Z</t>
  </si>
  <si>
    <t>TST-10/11/2025_2112</t>
  </si>
  <si>
    <t>BFS Settlement 10/10/2025</t>
  </si>
  <si>
    <t>2025-10-11T01:00:02.845Z</t>
  </si>
  <si>
    <t>3On9_7XKMye0xFvcOUeJl</t>
  </si>
  <si>
    <t>2025-10-10T08:35:54.016Z</t>
  </si>
  <si>
    <t>TRN-HJ964H547G113CGIGJ993I1B8K81EKKJ</t>
  </si>
  <si>
    <t>2025-10-09T11:15:25.904Z</t>
  </si>
  <si>
    <t>TRN-CJC316G3J643J2713K056J36D96F386G</t>
  </si>
  <si>
    <t>2025-10-09T11:15:25.901Z</t>
  </si>
  <si>
    <t>TST-10/09/2025_2112</t>
  </si>
  <si>
    <t>BFS Settlement 10/8/2025</t>
  </si>
  <si>
    <t>2025-10-09T01:00:03.526Z</t>
  </si>
  <si>
    <t>kOOJdLqOBVw49hoDqODLi</t>
  </si>
  <si>
    <t>2025-10-08T15:54:54.355Z</t>
  </si>
  <si>
    <t>TRN-sxNihD-sOb823jZqGHX2X</t>
  </si>
  <si>
    <t>000008251008164405645205356607</t>
  </si>
  <si>
    <t>2025-10-08T15:43:56.280Z</t>
  </si>
  <si>
    <t>HCpd63wxTg7Vnk4xZOl1j</t>
  </si>
  <si>
    <t>2025-10-03T11:47:20.958Z</t>
  </si>
  <si>
    <t>TRN-6KFCC2G0DIBG70CK60G361D4K6B45BHD</t>
  </si>
  <si>
    <t>2025-10-01T01:03:33.727Z</t>
  </si>
  <si>
    <t>aXhvExVKPmKW7rFeAB7hy</t>
  </si>
  <si>
    <t>2025-09-29T09:06:30.247Z</t>
  </si>
  <si>
    <t>ROuzvD1mgxEXdNiJNlaeM</t>
  </si>
  <si>
    <t>2025-09-28T20:39:52.413Z</t>
  </si>
  <si>
    <t>1m07Ob33woXE5b1dBixV-</t>
  </si>
  <si>
    <t>2025-09-28T16:51:37.017Z</t>
  </si>
  <si>
    <t>49VN6bqPB5z8iysEh9xGm</t>
  </si>
  <si>
    <t>2025-09-28T15:38:28.091Z</t>
  </si>
  <si>
    <t>98crOGouODmwavkauMJbn</t>
  </si>
  <si>
    <t>2025-09-28T15:22:50.031Z</t>
  </si>
  <si>
    <t>VkSt1OlG0RxlvyZ6pRdIe</t>
  </si>
  <si>
    <t>2025-09-26T12:12:22.549Z</t>
  </si>
  <si>
    <t>RixLv4TmO-59OqXB4w_0O</t>
  </si>
  <si>
    <t>2025-09-26T12:10:06.258Z</t>
  </si>
  <si>
    <t>zpOhFxt6xNVSl0YNf1iIz</t>
  </si>
  <si>
    <t>2025-09-26T03:31:11.156Z</t>
  </si>
  <si>
    <t>JR_igO7HQpg0Kx_q5LRV3</t>
  </si>
  <si>
    <t>2025-09-25T19:48:20.070Z</t>
  </si>
  <si>
    <t>odxGQ3_49FJrIXAgQArYN</t>
  </si>
  <si>
    <t>2025-09-25T07:53:47.945Z</t>
  </si>
  <si>
    <t>uGM8SkxAWfxRwEpJTbyUj</t>
  </si>
  <si>
    <t>2025-09-25T07:50:31.560Z</t>
  </si>
  <si>
    <t>0xi4O-DUHBtoq6WuAF4RM</t>
  </si>
  <si>
    <t>2025-09-25T07:24:32.073Z</t>
  </si>
  <si>
    <t>2jmocqO_a42I1pJuAuEqT</t>
  </si>
  <si>
    <t>2025-09-24T09:55:04.222Z</t>
  </si>
  <si>
    <t>o9hFoX-7WDpfk5zouxFSM</t>
  </si>
  <si>
    <t>2025-09-24T09:50:22.254Z</t>
  </si>
  <si>
    <t>VuU3FCfgo34kGxoFHUlPd</t>
  </si>
  <si>
    <t>2025-09-23T18:23:13.855Z</t>
  </si>
  <si>
    <t>xQdB2HriIRPg3xraFhrtj</t>
  </si>
  <si>
    <t>2025-09-23T18:11:11.035Z</t>
  </si>
  <si>
    <t>xKe9bc9HoXrlo3GWL6fWv</t>
  </si>
  <si>
    <t>2025-09-23T13:35:02.166Z</t>
  </si>
  <si>
    <t>TRN-703FF7B751C17IJBK051E2BGG23J5BJG</t>
  </si>
  <si>
    <t>2025-09-23T13:00:40.918Z</t>
  </si>
  <si>
    <t>gCNeJ6JHojRFoBY7XV2li</t>
  </si>
  <si>
    <t>000004250919160827824537178618</t>
  </si>
  <si>
    <t>MOB/UTO/CBI TECH   CHI/fine/32973218258</t>
  </si>
  <si>
    <t>2025-09-19T15:09:08.745Z</t>
  </si>
  <si>
    <t>TRN-J6471AEKED9A84GCDJ6727H8085EKI8I</t>
  </si>
  <si>
    <t>2025-09-19T15:03:06.064Z</t>
  </si>
  <si>
    <t>TRN-YYCtTbfNPZxj4YvlzDZpn</t>
  </si>
  <si>
    <t>000008260225181540140437005908</t>
  </si>
  <si>
    <t>Estimuhstore</t>
  </si>
  <si>
    <t>2026-02-25T17:15:31.149Z</t>
  </si>
  <si>
    <t>TST-02/25/2026_2125</t>
  </si>
  <si>
    <t>BFS Settlement 2/24/2026</t>
  </si>
  <si>
    <t>2026-02-25T01:00:14.535Z</t>
  </si>
  <si>
    <t>iW_f4Niq_rVXxZFS71hoz</t>
  </si>
  <si>
    <t>2026-02-24T17:50:36.876Z</t>
  </si>
  <si>
    <t>TST-02/24/2026_2125</t>
  </si>
  <si>
    <t>BFS Settlement 2/23/2026</t>
  </si>
  <si>
    <t>2026-02-24T01:00:12.874Z</t>
  </si>
  <si>
    <t>UzKyAuimMhxBnnYEkdhdk</t>
  </si>
  <si>
    <t>2026-02-23T19:45:51.334Z</t>
  </si>
  <si>
    <t>gXsBhxULMPrXcSWb5a7oX</t>
  </si>
  <si>
    <t>2026-02-23T19:28:41.347Z</t>
  </si>
  <si>
    <t>IrWhqTV7IzgOJSerb8CRC</t>
  </si>
  <si>
    <t>2026-02-23T19:27:56.064Z</t>
  </si>
  <si>
    <t>VbIlC58kJ4PokuVDZYTbR</t>
  </si>
  <si>
    <t>2026-02-23T19:27:22.546Z</t>
  </si>
  <si>
    <t>F09tt2PshN0uShFI5-Vqr</t>
  </si>
  <si>
    <t>2026-02-23T19:21:43.347Z</t>
  </si>
  <si>
    <t>iPgs44N2xX1HSU0aGq49V</t>
  </si>
  <si>
    <t>2026-02-23T19:14:15.286Z</t>
  </si>
  <si>
    <t>n52xYvoQZNUe0QX0ZBJpP</t>
  </si>
  <si>
    <t>2026-02-23T19:11:52.544Z</t>
  </si>
  <si>
    <t>cfv2B3VG696zZnpGAjYb2</t>
  </si>
  <si>
    <t>2026-02-23T17:48:19.808Z</t>
  </si>
  <si>
    <t>nP9nYvx2jqlWK_iVQY8G9</t>
  </si>
  <si>
    <t>2026-02-23T17:39:32.226Z</t>
  </si>
  <si>
    <t>TST-02/21/2026_2125</t>
  </si>
  <si>
    <t>2026-02-21T01:00:10.637Z</t>
  </si>
  <si>
    <t>LEau5wZCD8YP_qqDhww8B</t>
  </si>
  <si>
    <t>090405260220224410039671646498</t>
  </si>
  <si>
    <t>NIBSS:9017757431:BABATUNDE OLANREWAJU SAKA:BABATUNDE OL Trf for Customer AT68 TRF2MPTin4092024963313015435264:090405260220224410039671646498</t>
  </si>
  <si>
    <t>2026-02-20T21:45:02.873Z</t>
  </si>
  <si>
    <t>eF52JHHD-OdY3O65Ggokh</t>
  </si>
  <si>
    <t>100004260220211616152864008298</t>
  </si>
  <si>
    <t>NIBSS:9017757431:KHAJIDAT ABIDEMI LUKMAN:Transfer from KHAJIDAT ABIDEMI LUKMAN:100004260220211616152864008298</t>
  </si>
  <si>
    <t>2026-02-20T21:17:03.379Z</t>
  </si>
  <si>
    <t>TRN-YJ5fA5_x5AN0TdiNJWxZd</t>
  </si>
  <si>
    <t>000008260218171032432985439309</t>
  </si>
  <si>
    <t>2026-02-18T16:10:24.301Z</t>
  </si>
  <si>
    <t>TST-02/18/2026_2125</t>
  </si>
  <si>
    <t>2026-02-18T01:00:09.369Z</t>
  </si>
  <si>
    <t>TcZBtbCMQa7NxYr2o8uhQ</t>
  </si>
  <si>
    <t>100004260217174532152607644316</t>
  </si>
  <si>
    <t>NIBSS:9017757431:MONSURAT OMOWUNMI ADEYEMO:Transfer from MONSURAT OMOWUNMI ADEYEMO:100004260217174532152607644316</t>
  </si>
  <si>
    <t>2026-02-17T17:46:18.193Z</t>
  </si>
  <si>
    <t>xjYHJ45NfTJrFdeqswczk</t>
  </si>
  <si>
    <t>100004260217173344152606476745</t>
  </si>
  <si>
    <t>NIBSS:9017757431:RASHEEDAT OMOBONIKE OYELAKIN:Transfer from RASHEEDAT OMOBONIKE OYELAKIN:100004260217173344152606476745</t>
  </si>
  <si>
    <t>2026-02-17T17:34:09.734Z</t>
  </si>
  <si>
    <t>zQPbiOeBikBMGNpEL8s_e</t>
  </si>
  <si>
    <t>2026-02-17T17:31:25.024Z</t>
  </si>
  <si>
    <t>eFtW5XhKjIike6O9ByoF7</t>
  </si>
  <si>
    <t>2026-02-17T17:30:52.091Z</t>
  </si>
  <si>
    <t>TRN-F623D38K9A35C4792E649CEDGH4IGDDD</t>
  </si>
  <si>
    <t>2025-11-01T01:03:47.063Z</t>
  </si>
  <si>
    <t>tNL3-F4L5t8YRHrtRCHSs</t>
  </si>
  <si>
    <t>2025-10-17T14:37:57.405Z</t>
  </si>
  <si>
    <t>TRN-GGJ09A44HJEC1H62HHE7J014A6C0F982</t>
  </si>
  <si>
    <t>2025-10-17T14:35:07.982Z</t>
  </si>
  <si>
    <t>TRN-A6KI6B607AH8IJB017C35H1KAA252D13</t>
  </si>
  <si>
    <t>2025-10-17T14:35:07.966Z</t>
  </si>
  <si>
    <t>TRN-G87JE4DB2K40IEEIKDGE4IB023AG2640</t>
  </si>
  <si>
    <t>2025-10-17T14:15:48.791Z</t>
  </si>
  <si>
    <t>TRN-FBJ70C57I371DFCDE0F0C4327KG10J2A</t>
  </si>
  <si>
    <t>2025-10-17T14:00:08.474Z</t>
  </si>
  <si>
    <t>nwhcexg9FmOydksIK1eBU</t>
  </si>
  <si>
    <t>100004250922170431141596472594</t>
  </si>
  <si>
    <t>NIBSS:9011837382:ESTIMUH  STORES:Transfer from ESTIMUH  STORES:100004250922170431141596472594</t>
  </si>
  <si>
    <t>2025-09-22T17:05:17.351Z</t>
  </si>
  <si>
    <t>TRN-cLq1DDu_Q9jMcwjjMJfMe</t>
  </si>
  <si>
    <t>000008260222185332212893987309</t>
  </si>
  <si>
    <t>Afolabi Mojisola</t>
  </si>
  <si>
    <t>2026-02-22T17:53:24.413Z</t>
  </si>
  <si>
    <t>TST-02/21/2026_2116</t>
  </si>
  <si>
    <t>2026-02-21T01:00:11.295Z</t>
  </si>
  <si>
    <t>QJYhaRH2X1I3J0wZJMiE_</t>
  </si>
  <si>
    <t>2026-02-20T18:16:47.655Z</t>
  </si>
  <si>
    <t>vqI8kEBQd3D2SU2dnxwqd</t>
  </si>
  <si>
    <t>2026-02-20T18:07:07.926Z</t>
  </si>
  <si>
    <t>teuNvIh65z2Lw14nq86ts</t>
  </si>
  <si>
    <t>2026-02-20T18:03:31.058Z</t>
  </si>
  <si>
    <t>TST-02/19/2026_2116</t>
  </si>
  <si>
    <t>BFS Settlement 2/18/2026</t>
  </si>
  <si>
    <t>2026-02-19T01:00:10.529Z</t>
  </si>
  <si>
    <t>OIUrq9GoSgbPZj8yMaJQj</t>
  </si>
  <si>
    <t>100033260218173112864144429398</t>
  </si>
  <si>
    <t>NIBSS:9019002923:ORIYOMI ALUKPE:ORIYOMI ALUKPE 8082599147:100033260218173112864144429398</t>
  </si>
  <si>
    <t>2026-02-18T17:32:18.922Z</t>
  </si>
  <si>
    <t>qLZ5r3irBGn1qmy71IlLS</t>
  </si>
  <si>
    <t>100004260218172737152686181316</t>
  </si>
  <si>
    <t>NIBSS:9019002923:MOTUNRAYO MISSAN ALUKPE:Food money:100004260218172737152686181316</t>
  </si>
  <si>
    <t>2026-02-18T17:28:16.665Z</t>
  </si>
  <si>
    <t>TlVsPQE1ab-21X6aBgkuQ</t>
  </si>
  <si>
    <t>100004260218172424152684883407</t>
  </si>
  <si>
    <t>NIBSS:9019002923:MOTUNRAYO MISSAN ALUKPE:Transfer from MOTUNRAYO MISSAN ALUKPE:100004260218172424152684883407</t>
  </si>
  <si>
    <t>2026-02-18T17:25:16.707Z</t>
  </si>
  <si>
    <t>TRN-RZwqXgH1f15NSWQnOIyKL</t>
  </si>
  <si>
    <t>000008260212094331211770242209</t>
  </si>
  <si>
    <t>2026-02-12T08:43:23.736Z</t>
  </si>
  <si>
    <t>TST-02/12/2026_2116</t>
  </si>
  <si>
    <t>BFS Settlement 2/11/2026</t>
  </si>
  <si>
    <t>2026-02-12T01:00:09.657Z</t>
  </si>
  <si>
    <t>VGBEMIEGssd6dTLLs5oY_</t>
  </si>
  <si>
    <t>2026-02-11T18:20:44.817Z</t>
  </si>
  <si>
    <t>uSbcYl2FuL-8jNdJtX3Ic</t>
  </si>
  <si>
    <t>2026-02-11T17:57:59.310Z</t>
  </si>
  <si>
    <t>p6p2D3eox2XEd847awlaz</t>
  </si>
  <si>
    <t>2026-02-11T17:57:28.395Z</t>
  </si>
  <si>
    <t>TRN-LeFny6aCSeo2HD4PGFQyd</t>
  </si>
  <si>
    <t>2512081726211001953</t>
  </si>
  <si>
    <t>2025-12-08T16:26:11.331Z</t>
  </si>
  <si>
    <t>TST-12/06/2025_2116</t>
  </si>
  <si>
    <t>2025-12-06T01:00:25.440Z</t>
  </si>
  <si>
    <t>rGPj78r-Hm6AnJzlSp7bM</t>
  </si>
  <si>
    <t>2025-12-05T13:33:59.398Z</t>
  </si>
  <si>
    <t>TRN-irYrHC1PYko3SfzM2XQRq</t>
  </si>
  <si>
    <t>2512042259130464813</t>
  </si>
  <si>
    <t>2025-12-04T21:59:04.052Z</t>
  </si>
  <si>
    <t>TST-12/04/2025_2116</t>
  </si>
  <si>
    <t>2025-12-04T01:00:14.124Z</t>
  </si>
  <si>
    <t>GaBv6gi0-sU6Sjb63t5bo</t>
  </si>
  <si>
    <t>2025-12-03T17:35:18.857Z</t>
  </si>
  <si>
    <t>TRN-efG6J5eqpebYF37qktWPI</t>
  </si>
  <si>
    <t>2512031107333432103</t>
  </si>
  <si>
    <t>2025-12-03T10:07:22.063Z</t>
  </si>
  <si>
    <t>TST-12/03/2025_2116</t>
  </si>
  <si>
    <t>2025-12-03T01:00:08.901Z</t>
  </si>
  <si>
    <t>13D46zqK7AI9athEtDf_V</t>
  </si>
  <si>
    <t>2025-12-02T18:04:42.193Z</t>
  </si>
  <si>
    <t>ZnVRUHzCufT4i5Jxa1Dtd</t>
  </si>
  <si>
    <t>2025-12-02T18:03:31.113Z</t>
  </si>
  <si>
    <t>lLWifZMNZDlUBbzKaWcm1</t>
  </si>
  <si>
    <t>2025-12-02T17:31:20.986Z</t>
  </si>
  <si>
    <t>bTjB17KlplXRBrhCnoIhQ</t>
  </si>
  <si>
    <t>2025-12-02T17:29:28.449Z</t>
  </si>
  <si>
    <t>lZKNtRrF6GYsLxuDZlxyT</t>
  </si>
  <si>
    <t>2025-12-02T13:50:50.292Z</t>
  </si>
  <si>
    <t>ElnmoBr9OWWohJqcj9prT</t>
  </si>
  <si>
    <t>2025-12-02T13:21:51.493Z</t>
  </si>
  <si>
    <t>37-MerNjR85OvlMG8Hwp2</t>
  </si>
  <si>
    <t>2025-12-02T12:33:08.607Z</t>
  </si>
  <si>
    <t>fIulORQa0JSPLobdGWdsS</t>
  </si>
  <si>
    <t>2025-12-02T10:55:15.685Z</t>
  </si>
  <si>
    <t>sgtXwXkMS1QjgmhyG0Rv1</t>
  </si>
  <si>
    <t>2025-12-02T10:53:01.298Z</t>
  </si>
  <si>
    <t>54qwjPaadjB_f1K_FS-Ma</t>
  </si>
  <si>
    <t>2025-12-02T08:24:58.949Z</t>
  </si>
  <si>
    <t>hgZRtA3R8XDTrRxtr-y5t</t>
  </si>
  <si>
    <t>2025-11-25T16:41:15.220Z</t>
  </si>
  <si>
    <t>TRN-I_Ufgk9CC_-4eXBi9E9S6</t>
  </si>
  <si>
    <t>2511191204221833823</t>
  </si>
  <si>
    <t>2025-11-19T11:04:12.305Z</t>
  </si>
  <si>
    <t>TRN-Z594KVlvXEC2RaEe1asPC</t>
  </si>
  <si>
    <t>2025-11-19T07:35:38.625Z</t>
  </si>
  <si>
    <t>TST-11/19/2025_2116</t>
  </si>
  <si>
    <t>2025-11-19T01:00:06.257Z</t>
  </si>
  <si>
    <t>geFWQeprZlqgxnLJrkWwy</t>
  </si>
  <si>
    <t>2025-11-18T17:28:35.478Z</t>
  </si>
  <si>
    <t>TRN-BKtuyZ3wUcm0hmGJ4_y7n</t>
  </si>
  <si>
    <t>2511181702364308713</t>
  </si>
  <si>
    <t>2025-11-18T16:02:24.537Z</t>
  </si>
  <si>
    <t>cxCtCgsK9qGXnjtmRX90_</t>
  </si>
  <si>
    <t>2025-11-18T15:56:38.600Z</t>
  </si>
  <si>
    <t>sAWMC1tCgpY_JlTpIJQcK</t>
  </si>
  <si>
    <t>2025-11-18T15:53:29.891Z</t>
  </si>
  <si>
    <t>TST-11/15/2025_2116</t>
  </si>
  <si>
    <t>2025-11-15T01:00:04.880Z</t>
  </si>
  <si>
    <t>yyE4Gi7bvfAQKEM-QadEU</t>
  </si>
  <si>
    <t>2025-11-14T16:51:30.378Z</t>
  </si>
  <si>
    <t>TRN-1GWpL10kCmZaGRlNdqcBo</t>
  </si>
  <si>
    <t>2511141412325550583</t>
  </si>
  <si>
    <t>2025-11-14T13:12:22.617Z</t>
  </si>
  <si>
    <t>TST-11/13/2025_2116</t>
  </si>
  <si>
    <t>2025-11-13T01:00:05.423Z</t>
  </si>
  <si>
    <t>2HmdARbqH5leNpXlymnhe</t>
  </si>
  <si>
    <t>2025-11-12T16:32:11.566Z</t>
  </si>
  <si>
    <t>OfbnT9A3d8syob3753qk3</t>
  </si>
  <si>
    <t>2025-11-12T11:58:02.093Z</t>
  </si>
  <si>
    <t>TRN-q1P7s-osGemsGt39nYWKt</t>
  </si>
  <si>
    <t>2511121211424103663</t>
  </si>
  <si>
    <t>2025-11-12T11:11:33.273Z</t>
  </si>
  <si>
    <t>TST-11/12/2025_2116</t>
  </si>
  <si>
    <t>2025-11-12T01:00:05.080Z</t>
  </si>
  <si>
    <t>OleJJ9rm4hBlQCUEbQD2Z</t>
  </si>
  <si>
    <t>2025-11-11T17:36:19.785Z</t>
  </si>
  <si>
    <t>pP6bvbAQeYV00D7dFIHN4</t>
  </si>
  <si>
    <t>2025-11-11T17:06:53.645Z</t>
  </si>
  <si>
    <t>TST-11/11/2025_2116</t>
  </si>
  <si>
    <t>2025-11-11T01:00:04.405Z</t>
  </si>
  <si>
    <t>2jlvqTAZBMr9ch1uYI6jp</t>
  </si>
  <si>
    <t>2025-11-10T10:46:40.660Z</t>
  </si>
  <si>
    <t>TRN-QzX-ozIt-JWliPZQfxNEj</t>
  </si>
  <si>
    <t>2511101053463427013</t>
  </si>
  <si>
    <t>2025-11-10T09:53:28.002Z</t>
  </si>
  <si>
    <t>TRN-wUjGJGrsaqyQVJEUsLswh</t>
  </si>
  <si>
    <t>2025-11-10T09:19:08.927Z</t>
  </si>
  <si>
    <t>TST-11/09/2025_2116</t>
  </si>
  <si>
    <t>2025-11-09T01:00:03.170Z</t>
  </si>
  <si>
    <t>9btOI8doUtMLQaKn4PBx9</t>
  </si>
  <si>
    <t>2025-11-08T16:49:42.497Z</t>
  </si>
  <si>
    <t>TST-11/07/2025_2116</t>
  </si>
  <si>
    <t>2025-11-07T01:00:03.542Z</t>
  </si>
  <si>
    <t>S6WOhXNLVJcqWNKBeeugb</t>
  </si>
  <si>
    <t>2025-11-06T18:00:56.448Z</t>
  </si>
  <si>
    <t>VnMvEsnWRXsqpFkHkGBI7</t>
  </si>
  <si>
    <t>2025-11-06T14:51:50.641Z</t>
  </si>
  <si>
    <t>INtgs_Qdikpn2lF2GXiDP</t>
  </si>
  <si>
    <t>2025-11-06T14:50:07.542Z</t>
  </si>
  <si>
    <t>TRN-9G2H4605F12BD3E8K6EKCBJ22HD1JCKJ</t>
  </si>
  <si>
    <t>2025-11-01T01:03:26.786Z</t>
  </si>
  <si>
    <t>TRN-4B855G7183FA2DH4BF54IBD40K9HCA9I</t>
  </si>
  <si>
    <t>2025-10-30T10:27:27.424Z</t>
  </si>
  <si>
    <t>TRN-31D2J717C1H4CF9B22F9EKHGFH7B7IKJ</t>
  </si>
  <si>
    <t>2025-10-30T10:05:20.053Z</t>
  </si>
  <si>
    <t>TRN-C99687B209DG154CHC4DKAIC188H3EE3</t>
  </si>
  <si>
    <t>2025-10-30T10:05:20.051Z</t>
  </si>
  <si>
    <t>TST-10/29/2025_2116</t>
  </si>
  <si>
    <t>2025-10-29T01:00:03.455Z</t>
  </si>
  <si>
    <t>6h6tXsQBE4593CwDp9OR5</t>
  </si>
  <si>
    <t>2025-10-28T17:18:01.091Z</t>
  </si>
  <si>
    <t>6qV5KgPEfbjzU40wEjAu3</t>
  </si>
  <si>
    <t>2025-10-28T17:13:20.822Z</t>
  </si>
  <si>
    <t>70-s-Fka30UZNAblRTIee</t>
  </si>
  <si>
    <t>2025-10-23T19:15:24.206Z</t>
  </si>
  <si>
    <t>TRN-0Qt06KKRkiNf-AKNxFW6q</t>
  </si>
  <si>
    <t>2510231517563657453</t>
  </si>
  <si>
    <t>2025-10-23T14:17:47.242Z</t>
  </si>
  <si>
    <t>TST-10/23/2025_2116</t>
  </si>
  <si>
    <t>BFS Settlement 10/22/2025</t>
  </si>
  <si>
    <t>2025-10-23T01:00:03.231Z</t>
  </si>
  <si>
    <t>ilXxSfQPsJYBWvNpMFe_q</t>
  </si>
  <si>
    <t>2025-10-22T15:35:36.676Z</t>
  </si>
  <si>
    <t>v6zOR4r19fdFKcUBvNvmA</t>
  </si>
  <si>
    <t>2025-10-22T15:34:23.592Z</t>
  </si>
  <si>
    <t>TST-10/22/2025_2116</t>
  </si>
  <si>
    <t>2025-10-22T01:00:04.159Z</t>
  </si>
  <si>
    <t>ZbR50pU9hHQsmLpN_dTzE</t>
  </si>
  <si>
    <t>100004251021141856143561672322</t>
  </si>
  <si>
    <t>NIBSS:9019002923:RASHEEDAT OMOBONIKE OYELAKIN:Transfer from RASHEEDAT OMOBONIKE OYELAKIN:100004251021141856143561672322</t>
  </si>
  <si>
    <t>2025-10-21T14:20:12.820Z</t>
  </si>
  <si>
    <t>ZLV8LDCAS_LpuVwKiSNdq</t>
  </si>
  <si>
    <t>2025-10-21T14:17:28.193Z</t>
  </si>
  <si>
    <t>gCzt0-vEaCTmzppp-WEKn</t>
  </si>
  <si>
    <t>2025-10-21T13:41:20.062Z</t>
  </si>
  <si>
    <t>ey9KMzO4rEG3xRlG5382l</t>
  </si>
  <si>
    <t>2025-10-16T16:57:10.910Z</t>
  </si>
  <si>
    <t>qVU6_7XPGtd9_BPtgtTVW</t>
  </si>
  <si>
    <t>2025-10-16T11:46:07.232Z</t>
  </si>
  <si>
    <t>fG6zeZjpPzgKsZw0C0Md1</t>
  </si>
  <si>
    <t>2025-10-16T11:41:49.601Z</t>
  </si>
  <si>
    <t>TRN-t3-4asanfaIXBYSc8jHhL</t>
  </si>
  <si>
    <t>2510081431540783343</t>
  </si>
  <si>
    <t>2025-10-08T13:31:44.956Z</t>
  </si>
  <si>
    <t>TRN-A3HFAFG093DIJ279F1G7E93A398IEA1G</t>
  </si>
  <si>
    <t>2025-10-02T10:49:11.540Z</t>
  </si>
  <si>
    <t>npvOZ_2g4C548hgpJ0mp2</t>
  </si>
  <si>
    <t>2025-09-24T14:27:10.428Z</t>
  </si>
  <si>
    <t>UZN4WgkQ3plo0BydW5XSt</t>
  </si>
  <si>
    <t>2025-09-24T10:16:16.220Z</t>
  </si>
  <si>
    <t>4mnzUcxQ6gSqcjTQZNqvw</t>
  </si>
  <si>
    <t>100033250923131207610609396275</t>
  </si>
  <si>
    <t>NIBSS:9019002923:MOJISOLA KOFOWOROLA AFOLABI:MOJISOLA KOFOWOROLA AFOLABI 9024659934:100033250923131207610609396275</t>
  </si>
  <si>
    <t>2025-09-23T13:13:10.656Z</t>
  </si>
  <si>
    <t>ailgyvBq6nsB7pxRmrI32</t>
  </si>
  <si>
    <t>2025-09-23T13:12:47.999Z</t>
  </si>
  <si>
    <t>oZYXqtKVZvyUnVeKeFPRu</t>
  </si>
  <si>
    <t>100033250923125530939609698395</t>
  </si>
  <si>
    <t>NIBSS:9019685531:MOJISOLA KOFOWOROLA AFOLABI:MOJISOLA KOFOWOROLA AFOLABI 9024659934:100033250923125530939609698395</t>
  </si>
  <si>
    <t>2025-09-23T12:56:08.470Z</t>
  </si>
  <si>
    <t>70dbdW-TwYQ8siWOKPRnA</t>
  </si>
  <si>
    <t>100004250920144017141459636346</t>
  </si>
  <si>
    <t>NIBSS:9019002923:MOJISOLA KOFOWOROLA AFOLABI:Transfer from MOJISOLA KOFOWOROLA AFOLABI:100004250920144017141459636346</t>
  </si>
  <si>
    <t>2025-09-20T14:41:05.447Z</t>
  </si>
  <si>
    <t>TRN-E57KJIHJDCAG5EI0F3AB80D5K699AH9C</t>
  </si>
  <si>
    <t>2025-09-20T14:05:18.825Z</t>
  </si>
  <si>
    <t>TRN-8htNTZIodvIRxc9sO6Kg0</t>
  </si>
  <si>
    <t>000008260306114230150204051909</t>
  </si>
  <si>
    <t xml:space="preserve">Mr Chuks Catering Service </t>
  </si>
  <si>
    <t>2026-03-06T10:42:13.744Z</t>
  </si>
  <si>
    <t>TST-03/06/2026_1922</t>
  </si>
  <si>
    <t>BFS Settlement 3/5/2026</t>
  </si>
  <si>
    <t>2026-03-06T01:00:07.807Z</t>
  </si>
  <si>
    <t>d1hHFetX_eBd2_XaBWGux</t>
  </si>
  <si>
    <t>2026-03-05T05:50:48.634Z</t>
  </si>
  <si>
    <t>oxxA9zVWrrv-rOF3GmWkD</t>
  </si>
  <si>
    <t>2026-03-05T05:49:45.878Z</t>
  </si>
  <si>
    <t>TRN-8RkUoF8WPwmvvB_gxCVjX</t>
  </si>
  <si>
    <t>000008260227165616176120884409</t>
  </si>
  <si>
    <t>2026-02-27T15:56:05.891Z</t>
  </si>
  <si>
    <t>TRN-eXyh0p3DQcaecYb7qvJrx</t>
  </si>
  <si>
    <t>000008260223123932172030721909</t>
  </si>
  <si>
    <t>2026-02-23T11:39:23.729Z</t>
  </si>
  <si>
    <t>TRN-s9U3YkjC6rsqOPaNdiff3</t>
  </si>
  <si>
    <t>000008260220120951191544385608</t>
  </si>
  <si>
    <t>2026-02-20T11:09:42.553Z</t>
  </si>
  <si>
    <t>TST-02/19/2026_1922</t>
  </si>
  <si>
    <t>2026-02-19T01:00:08.483Z</t>
  </si>
  <si>
    <t>TRN-djTXgQwQdLLim4p9RKFpr</t>
  </si>
  <si>
    <t>000008260218085722842467065509</t>
  </si>
  <si>
    <t>2026-02-18T07:57:12.849Z</t>
  </si>
  <si>
    <t>d077ThNh7LnTEk5aOr1i5</t>
  </si>
  <si>
    <t>2026-02-18T07:54:34.202Z</t>
  </si>
  <si>
    <t>TRN-W0coDK6Bzm1oa6u3KvMYu</t>
  </si>
  <si>
    <t>2026-02-18T07:53:19.762Z</t>
  </si>
  <si>
    <t>HdjyqwbKiEBWLGFP0dHPU</t>
  </si>
  <si>
    <t>2026-02-18T07:52:02.359Z</t>
  </si>
  <si>
    <t>iMGo--UmQm5g-x4oEI3bM</t>
  </si>
  <si>
    <t>2026-02-18T07:51:19.864Z</t>
  </si>
  <si>
    <t>TRN-Vj1tdBiDODjNgo4K-wlnd</t>
  </si>
  <si>
    <t>000008260216205925365746215807</t>
  </si>
  <si>
    <t>2026-02-16T19:59:16.456Z</t>
  </si>
  <si>
    <t>TRN-fBymUH302xnfHDXoe1qq4</t>
  </si>
  <si>
    <t>000008260216181355435658549208</t>
  </si>
  <si>
    <t>2026-02-16T17:13:46.243Z</t>
  </si>
  <si>
    <t>TRN-6JIoPppDxLOJ3Oxkejzfm</t>
  </si>
  <si>
    <t>000008260216171529929831673307</t>
  </si>
  <si>
    <t>2026-02-16T16:15:19.182Z</t>
  </si>
  <si>
    <t>TST-02/16/2026_1922</t>
  </si>
  <si>
    <t>BFS Settlement 2/15/2026</t>
  </si>
  <si>
    <t>2026-02-16T01:00:05.072Z</t>
  </si>
  <si>
    <t>ifz9HaKRVjmsOIRIMcxzN</t>
  </si>
  <si>
    <t>2026-02-15T20:55:51.906Z</t>
  </si>
  <si>
    <t>3lizgE8zRJclBMJnOj3kK</t>
  </si>
  <si>
    <t>2026-02-15T20:55:21.849Z</t>
  </si>
  <si>
    <t>TRN-P4r13gnQX4W8uZEhbfP8-</t>
  </si>
  <si>
    <t>000008260215215109069250191207</t>
  </si>
  <si>
    <t>2026-02-15T20:50:59.919Z</t>
  </si>
  <si>
    <t>TRN-OtygeFUcwYnxEvjYUwMFC</t>
  </si>
  <si>
    <t>000008260215114008408144641009</t>
  </si>
  <si>
    <t>2026-02-15T10:39:59.365Z</t>
  </si>
  <si>
    <t>TST-02/14/2026_1922</t>
  </si>
  <si>
    <t>BFS Settlement 2/13/2026</t>
  </si>
  <si>
    <t>2026-02-14T01:00:07.818Z</t>
  </si>
  <si>
    <t>bnPHC_COFN20Q319WTe2B</t>
  </si>
  <si>
    <t>2026-02-13T23:02:49.731Z</t>
  </si>
  <si>
    <t>wPYP4okAO-gCf749jual0</t>
  </si>
  <si>
    <t>2026-02-13T23:02:04.287Z</t>
  </si>
  <si>
    <t>mRRXxLBhnq_3KFTNy7YPb</t>
  </si>
  <si>
    <t>2026-02-13T23:01:18.543Z</t>
  </si>
  <si>
    <t>xk1FkL-iu8pyRQM0CXDqv</t>
  </si>
  <si>
    <t>2026-02-13T23:00:14.241Z</t>
  </si>
  <si>
    <t>TRN-vXb1IqzCg9tNtJYkJ1jO7</t>
  </si>
  <si>
    <t>000008260213192419459545145709</t>
  </si>
  <si>
    <t>2026-02-13T18:24:10.908Z</t>
  </si>
  <si>
    <t>TST-02/09/2026_1922</t>
  </si>
  <si>
    <t>BFS Settlement 2/8/2026</t>
  </si>
  <si>
    <t>2026-02-09T01:00:04.565Z</t>
  </si>
  <si>
    <t>RbLXwLQsvI4uIQZIYlwV6</t>
  </si>
  <si>
    <t>2026-02-08T21:35:14.829Z</t>
  </si>
  <si>
    <t>TRN-Kqe46PQgex_fU5ykw_uPL</t>
  </si>
  <si>
    <t>000008260126181339019674900609</t>
  </si>
  <si>
    <t>2026-01-26T17:13:28.597Z</t>
  </si>
  <si>
    <t>TRN-ZDNgpsnFCKzpV9P5Nf_WY</t>
  </si>
  <si>
    <t>000008260126103155315435383209</t>
  </si>
  <si>
    <t>2026-01-26T09:31:46.854Z</t>
  </si>
  <si>
    <t>TRN-r_t1ZZop4oOXPbgfD2m1r</t>
  </si>
  <si>
    <t>000008260125194401041664578607</t>
  </si>
  <si>
    <t>2026-01-25T18:43:53.144Z</t>
  </si>
  <si>
    <t>TRN-h9J1To2Bcw6Fo35eMz2Y4</t>
  </si>
  <si>
    <t>000008260124150423863674229309</t>
  </si>
  <si>
    <t>2026-01-24T14:04:15.573Z</t>
  </si>
  <si>
    <t>TRN-NNaSMmMzTpCMSZshlD4lt</t>
  </si>
  <si>
    <t>000008260124093441081232662209</t>
  </si>
  <si>
    <t>2026-01-24T08:34:30.778Z</t>
  </si>
  <si>
    <t>TRN-5KFeVP3rNtEOBk2J0Tckm</t>
  </si>
  <si>
    <t>000008260124070606166381019207</t>
  </si>
  <si>
    <t>2026-01-24T06:05:55.835Z</t>
  </si>
  <si>
    <t>TRN-ZvdHpMoTTJg6karOeDIO9</t>
  </si>
  <si>
    <t>000008260122172918758087801209</t>
  </si>
  <si>
    <t>2026-01-22T16:29:07.699Z</t>
  </si>
  <si>
    <t>TRN-YFS5pE2vfU7R3rcT5qui8</t>
  </si>
  <si>
    <t>000008260122084748468497121709</t>
  </si>
  <si>
    <t>2026-01-22T07:47:40.662Z</t>
  </si>
  <si>
    <t>TRN-_O3KKpSaO7T6qu5VryHip</t>
  </si>
  <si>
    <t>000008260121142116076799713108</t>
  </si>
  <si>
    <t>2026-01-21T13:21:07.843Z</t>
  </si>
  <si>
    <t>I43Ws-GRrBTwINc16zPpA</t>
  </si>
  <si>
    <t>090405260118172119828870688794</t>
  </si>
  <si>
    <t>NIBSS:9011971014:NKEM LILIAN JEGBEFUME:NKEM LILIAN  Trf for Customer AT68 TRF2MPT68x6m2012923260813094912:090405260118172119828870688794</t>
  </si>
  <si>
    <t>2026-01-18T16:22:05.083Z</t>
  </si>
  <si>
    <t>TRN-PbcGgqVMoXxpAVtAOy2-R</t>
  </si>
  <si>
    <t>000008260117161610370856043507</t>
  </si>
  <si>
    <t>2026-01-17T15:16:02.485Z</t>
  </si>
  <si>
    <t>TRN-RheOgen-ZUucMUYrR9QA6</t>
  </si>
  <si>
    <t>000008260116174502302719217309</t>
  </si>
  <si>
    <t>2026-01-16T16:44:52.988Z</t>
  </si>
  <si>
    <t>TRN-EJAus4uMflGkvIhs5q7Zv</t>
  </si>
  <si>
    <t>000008260116160528328105826608</t>
  </si>
  <si>
    <t>2026-01-16T15:05:18.947Z</t>
  </si>
  <si>
    <t>TRN-osqxtCRAXiaMCSn6na4QT</t>
  </si>
  <si>
    <t>000008260115150441281810805807</t>
  </si>
  <si>
    <t>2026-01-15T14:04:32.252Z</t>
  </si>
  <si>
    <t>TRN-8hPzm-DM88d0y-2QDwULR</t>
  </si>
  <si>
    <t>000008260114180733853429905409</t>
  </si>
  <si>
    <t>2026-01-14T17:07:24.171Z</t>
  </si>
  <si>
    <t>TRN-VbwQcYoKsIh4ugWBl2bi7</t>
  </si>
  <si>
    <t>000008260114163220140577187209</t>
  </si>
  <si>
    <t>2026-01-14T15:32:09.828Z</t>
  </si>
  <si>
    <t>TRN-iwb7ZsZPG1ttgLXkM0IBR</t>
  </si>
  <si>
    <t>000008260113212555355890570409</t>
  </si>
  <si>
    <t>2026-01-13T20:25:47.434Z</t>
  </si>
  <si>
    <t>TRN-4ATmkO6HclXecLgIVim-M</t>
  </si>
  <si>
    <t>000008260113164246366349602509</t>
  </si>
  <si>
    <t>2026-01-13T15:42:35.769Z</t>
  </si>
  <si>
    <t>TRN-DkBY19_8-Eh-gvu-HGfRs</t>
  </si>
  <si>
    <t>000008260107132742262676699708</t>
  </si>
  <si>
    <t>2026-01-07T12:27:34.289Z</t>
  </si>
  <si>
    <t>TST-01/02/2026_1922</t>
  </si>
  <si>
    <t>2026-01-02T01:00:03.727Z</t>
  </si>
  <si>
    <t>xyR2Jkchm95cLn860O-zq</t>
  </si>
  <si>
    <t>2026-01-01T11:03:14.111Z</t>
  </si>
  <si>
    <t>sRUa5llzx9Yj7s_Uayyyc</t>
  </si>
  <si>
    <t>100004260101050637148973408339</t>
  </si>
  <si>
    <t>NIBSS:9011971014:EDITH NDIDI EBIAI:Transfer from EDITH NDIDI EBIAI:100004260101050637148973408339</t>
  </si>
  <si>
    <t>2026-01-01T05:07:05.120Z</t>
  </si>
  <si>
    <t>k4-qz9scRxltJ8cb1fjw_</t>
  </si>
  <si>
    <t>090405251231144727053425136426</t>
  </si>
  <si>
    <t>NIBSS:9011971014:AMARA EXCEEDING GRACE INTEGRITY ENTERPRI:AMARA EXCEED Trf for Customer AT68 TRF2MPT7ny1f2006361560711933952:090405251231144727053425136426</t>
  </si>
  <si>
    <t>2025-12-31T13:48:05.676Z</t>
  </si>
  <si>
    <t>TRN-rNEbAVaWS4Tt8-Hsmk7ZY</t>
  </si>
  <si>
    <t>000008251231133442882738431009</t>
  </si>
  <si>
    <t>2025-12-31T12:34:32.065Z</t>
  </si>
  <si>
    <t>TRN-TPFs88SfBrw1tZi3lpcdO</t>
  </si>
  <si>
    <t>000008251231120618578457047509</t>
  </si>
  <si>
    <t>2025-12-31T11:06:05.759Z</t>
  </si>
  <si>
    <t>2OSJ_w5fWRYfj3UqwR7qw</t>
  </si>
  <si>
    <t>100004251230221739148874315742</t>
  </si>
  <si>
    <t>NIBSS:9011971014:NZUBECHI TWINKLE OKONKWO:Transfer from NZUBECHI TWINKLE OKONKWO:100004251230221739148874315742</t>
  </si>
  <si>
    <t>2025-12-30T22:18:05.207Z</t>
  </si>
  <si>
    <t>PnFzjLTNG4UWNAloOcpQY</t>
  </si>
  <si>
    <t>100033251230112433533929623978</t>
  </si>
  <si>
    <t>NIBSS:9011971014:OLUWASEYI RUTH AROBIEKE:Refund:100033251230112433533929623978</t>
  </si>
  <si>
    <t>2025-12-30T11:25:05.274Z</t>
  </si>
  <si>
    <t>1PgbvAfBIn-8mveTQEX1G</t>
  </si>
  <si>
    <t>000014251228143009241354514234</t>
  </si>
  <si>
    <t>NIBSS:9011971014:PAUL ANYACHOR:MOBILE TRF TO POB CBI-TECH - Mr Chuks Catering Service:000014251228143009241354514234</t>
  </si>
  <si>
    <t>2025-12-28T13:31:05.691Z</t>
  </si>
  <si>
    <t>TRN-uU6lN3HlSLTF3X0_msK6D</t>
  </si>
  <si>
    <t>000008251226164052052555713409</t>
  </si>
  <si>
    <t>2025-12-26T15:40:44.630Z</t>
  </si>
  <si>
    <t>TRN-UopacptDH-jmf3HtQqDa-</t>
  </si>
  <si>
    <t>000008251225214234754926613408</t>
  </si>
  <si>
    <t>2025-12-25T20:42:26.188Z</t>
  </si>
  <si>
    <t>TRN-Z9Wdb9Eis4Gcohm00o-2I</t>
  </si>
  <si>
    <t>000008251225123159719535144809</t>
  </si>
  <si>
    <t>2025-12-25T11:31:50.917Z</t>
  </si>
  <si>
    <t>VZcwRJN06cy0Aru-K8nFT</t>
  </si>
  <si>
    <t>090405251225074538873637556370</t>
  </si>
  <si>
    <t>NIBSS:9011971014:HENRY MUSICAL STORES - HENRYMUSICALSTORE:BEADS AT68 TRF2MPT28fx72004081079010746368:090405251225074538873637556370</t>
  </si>
  <si>
    <t>2025-12-25T06:46:05.106Z</t>
  </si>
  <si>
    <t>8CrCHVQ6dGrUW-PMaVA-K</t>
  </si>
  <si>
    <t>090405251225074046715534973661</t>
  </si>
  <si>
    <t>NIBSS:9011971014:TONEY-INTOUCH  VENTURES:TONEYINTOUC Trf for Customer AT68 TRF2MPT5o5h2004079854020300800:090405251225074046715534973661</t>
  </si>
  <si>
    <t>2025-12-25T06:41:06.834Z</t>
  </si>
  <si>
    <t>AGfbVUzB_q1XXtCABGxHm</t>
  </si>
  <si>
    <t>100004251225062326148449983119</t>
  </si>
  <si>
    <t>NIBSS:9011971014:FRIDAY CHUKWUKA GODWIN:Transfer from FRIDAY CHUKWUKA GODWIN:100004251225062326148449983119</t>
  </si>
  <si>
    <t>2025-12-25T06:24:05.874Z</t>
  </si>
  <si>
    <t>W0nIOFK9j4x9di5nRPV_B</t>
  </si>
  <si>
    <t>100004251225053827148448427944</t>
  </si>
  <si>
    <t>NIBSS:9011971014:EBERE PRECIOUS ONYEBUCHI:Transfer from EBERE PRECIOUS ONYEBUCHI:100004251225053827148448427944</t>
  </si>
  <si>
    <t>2025-12-25T05:39:05.543Z</t>
  </si>
  <si>
    <t>R9I20-WO3w00Kg-M7dM3c</t>
  </si>
  <si>
    <t>100004251225053756148448411202</t>
  </si>
  <si>
    <t>NIBSS:9011971014:ALPHONSIUS JUSTINE:Transfer from ALPHONSIUS JUSTINE:100004251225053756148448411202</t>
  </si>
  <si>
    <t>2025-12-25T05:39:04.205Z</t>
  </si>
  <si>
    <t>090405251225063117385423654905</t>
  </si>
  <si>
    <t>NIBSS:9011971014:EMEKA KENNETH OBI:EMEKA KENNET Trf for Customer AT68 TRF2MPT599q32004062367811571712:090405251225063117385423654905</t>
  </si>
  <si>
    <t>2025-12-25T05:32:03.955Z</t>
  </si>
  <si>
    <t>7Z4Y1DIUxN7A33UQ_DRb2</t>
  </si>
  <si>
    <t>100033251225052855468239225606</t>
  </si>
  <si>
    <t>NIBSS:9011971014:GLORY JEROME BASSEY:GLORY JEROME BASSEY 7340745322:100033251225052855468239225606</t>
  </si>
  <si>
    <t>2025-12-25T05:30:03.857Z</t>
  </si>
  <si>
    <t>yXfD2T2oYJcYxDGxFNLrN</t>
  </si>
  <si>
    <t>100004251225030310148447025654</t>
  </si>
  <si>
    <t>NIBSS:9011971014:NGOZIKA ANGELA MADUABUCHUKWU:Transfer from NGOZIKA ANGELA MADUABUCHUKWU:100004251225030310148447025654</t>
  </si>
  <si>
    <t>2025-12-25T03:04:04.062Z</t>
  </si>
  <si>
    <t>ickxCiRxI65BU5QUmB0d6</t>
  </si>
  <si>
    <t>100004251225025921148447023357</t>
  </si>
  <si>
    <t>NIBSS:9011971014:MMADUABUCHI MACEELINUS OKEKE:Transfer from MMADUABUCHI MACEELINUS OKEKE:100004251225025921148447023357</t>
  </si>
  <si>
    <t>2025-12-25T03:00:05.284Z</t>
  </si>
  <si>
    <t>KPnS2wwM53ZIrFEWSWwc1</t>
  </si>
  <si>
    <t>100004251225025934148446266725</t>
  </si>
  <si>
    <t>NIBSS:9011971014:UZODU HENRY MBAMARA:Transfer from UZODU HENRY MBAMARA:100004251225025934148446266725</t>
  </si>
  <si>
    <t>2025-12-25T03:00:04.329Z</t>
  </si>
  <si>
    <t>gMyDf9rpCidL-7My2NvxY</t>
  </si>
  <si>
    <t>090405251225035620053725916537</t>
  </si>
  <si>
    <t>NIBSS:9011971014:NWOKENNA GOODNESS IJEOMA:NWOKENNA GOO Trf for Customer AT68 TRF2MPT4078u2004023375296409600:090405251225035620053725916537</t>
  </si>
  <si>
    <t>2025-12-25T02:57:04.838Z</t>
  </si>
  <si>
    <t>hJ2PxX-Wg64_NnbTSj-7F</t>
  </si>
  <si>
    <t>100004251225025646148446143815</t>
  </si>
  <si>
    <t>NIBSS:9011971014:JULIET AKUNNA UDEKEN:Transfer from JULIET AKUNNA UDEKEN:100004251225025646148446143815</t>
  </si>
  <si>
    <t>2025-12-25T02:57:04.734Z</t>
  </si>
  <si>
    <t>s2-F0afK5BV7Ub5qk0Zcw</t>
  </si>
  <si>
    <t>100004251225025400148447020355</t>
  </si>
  <si>
    <t>NIBSS:9011971014:CHINAZA SALVATION EFREMCHIGOZIE:Transfer from CHINAZA SALVATION EFREMCHIGOZIE:100004251225025400148447020355</t>
  </si>
  <si>
    <t>2025-12-25T02:55:03.607Z</t>
  </si>
  <si>
    <t>sa4D5RhOkAO5yZ5fDSb6o</t>
  </si>
  <si>
    <t>000014251225035241233724148530</t>
  </si>
  <si>
    <t>NIBSS:9011971014:WORLD PROTUS SOLAR GLOBAL:MOBILE TRF TO POB CBI-TECH - Mr Chuks Catering Service:000014251225035241233724148530</t>
  </si>
  <si>
    <t>2025-12-25T02:53:04.752Z</t>
  </si>
  <si>
    <t>TRN-PIqCsQDtwGOu0ToysDN3i</t>
  </si>
  <si>
    <t>000008251222160201121342849207</t>
  </si>
  <si>
    <t>2025-12-22T15:01:52.407Z</t>
  </si>
  <si>
    <t>TRN-qJafoi8_UQhUgKNOfYwua</t>
  </si>
  <si>
    <t>000008251222104621181585857407</t>
  </si>
  <si>
    <t>2025-12-22T09:46:13.338Z</t>
  </si>
  <si>
    <t>TRN-aML2LvB4jazav2f5uuf-J</t>
  </si>
  <si>
    <t>2025-12-22T07:32:47.148Z</t>
  </si>
  <si>
    <t>TRN-vj434htQh4AoMPxW9jVAt</t>
  </si>
  <si>
    <t>2025-12-22T07:20:32.639Z</t>
  </si>
  <si>
    <t>TRN-GamEml8AAJnCG-uHje1i3</t>
  </si>
  <si>
    <t>2025-12-22T05:49:33.746Z</t>
  </si>
  <si>
    <t>TRN-Tea-DV7wAqzV1U7sXRSs5</t>
  </si>
  <si>
    <t>2025-12-21T19:16:01.018Z</t>
  </si>
  <si>
    <t>TRN-DRDbwm140exm60sMZBygV</t>
  </si>
  <si>
    <t>2025-12-21T19:02:52.047Z</t>
  </si>
  <si>
    <t>TRN-xFKrKaRFDj-EDBIC9tHS9</t>
  </si>
  <si>
    <t>2025-12-21T18:57:00.009Z</t>
  </si>
  <si>
    <t>TRN-wCnFM0LbgYoDdeSGjrTsw</t>
  </si>
  <si>
    <t>2025-12-21T18:48:27.903Z</t>
  </si>
  <si>
    <t>TRN-kMrAqPlsOUd0oQwilr20y</t>
  </si>
  <si>
    <t>2025-12-21T18:47:13.945Z</t>
  </si>
  <si>
    <t>TRN-eR6L7MDFyoQK5zY-R0Dr4</t>
  </si>
  <si>
    <t>2025-12-21T18:44:59.838Z</t>
  </si>
  <si>
    <t>TRN-ttkJs4g426ne9Op55Cwg_</t>
  </si>
  <si>
    <t>2025-12-21T18:29:26.485Z</t>
  </si>
  <si>
    <t>TRN-GhxT2j-HDYYT8eFNiHeU6</t>
  </si>
  <si>
    <t>2025-12-21T18:26:22.710Z</t>
  </si>
  <si>
    <t>100033251218184952474007304702</t>
  </si>
  <si>
    <t>NIBSS:9011971014:LILIAN - EFUGOGA:LILIAN - EFUGOGA 7036065862:100033251218184952474007304702</t>
  </si>
  <si>
    <t>2025-12-18T18:50:07.827Z</t>
  </si>
  <si>
    <t>f7JIIFGQsNbLWwa1qJOIM</t>
  </si>
  <si>
    <t>100004251218054432147866377574</t>
  </si>
  <si>
    <t>NIBSS:9011971014:MIRACLE EBUBECHUKWU MONDAY:Transfer from MIRACLE EBUBECHUKWU MONDAY:100004251218054432147866377574</t>
  </si>
  <si>
    <t>2025-12-18T05:45:06.176Z</t>
  </si>
  <si>
    <t>TRN-4jFK2iODvakcvwyLNfIuW</t>
  </si>
  <si>
    <t>000008251213153305785619637609</t>
  </si>
  <si>
    <t>2025-12-13T14:32:36.293Z</t>
  </si>
  <si>
    <t>TRN-u7cnZU1Zy4fgRLnbSTFn0</t>
  </si>
  <si>
    <t>000008251213073833313470318707</t>
  </si>
  <si>
    <t>2025-12-13T06:38:21.714Z</t>
  </si>
  <si>
    <t>TST-12/12/2025_1922</t>
  </si>
  <si>
    <t>2025-12-12T01:00:07.758Z</t>
  </si>
  <si>
    <t>GOo4A2ePuYbuRuXSX3ep3</t>
  </si>
  <si>
    <t>2025-12-11T05:59:01.968Z</t>
  </si>
  <si>
    <t>a9UC44KsZsx_mnxf4EQ3H</t>
  </si>
  <si>
    <t>100004251207173402147060607072</t>
  </si>
  <si>
    <t>NIBSS:9011971014:EMMANUEL FRIDAY UMOH:Transfer from EMMANUEL FRIDAY UMOH:100004251207173402147060607072</t>
  </si>
  <si>
    <t>2025-12-07T17:35:06.954Z</t>
  </si>
  <si>
    <t>TRN-JDYxZQ-O8bw6ldXCNT9Oy</t>
  </si>
  <si>
    <t>000008251130202241961448401209</t>
  </si>
  <si>
    <t>2025-11-30T19:22:31.665Z</t>
  </si>
  <si>
    <t>TRN-35hhlPmX-uQ3v1dsA7Oxi</t>
  </si>
  <si>
    <t>000008251129175856936996341908</t>
  </si>
  <si>
    <t>2025-11-29T16:58:48.092Z</t>
  </si>
  <si>
    <t>XR95mjkV2i9khxbddZA3_</t>
  </si>
  <si>
    <t>100004251129105045146394848716</t>
  </si>
  <si>
    <t>NIBSS:9011971014:FRANK CHETA EZEOKOLIE:Transfer from FRANK CHETA EZEOKOLIE:100004251129105045146394848716</t>
  </si>
  <si>
    <t>2025-11-29T10:51:05.642Z</t>
  </si>
  <si>
    <t>4pYsce1wyTjc1x_YyCJ1b</t>
  </si>
  <si>
    <t>090405251129064956422934998862</t>
  </si>
  <si>
    <t>NIBSS:9011971014:HENRY MUSICAL STORES - HENRYMUSICALSTORE:BEAD  NECKLACE MANTLE AT68 TRF2MPT28fx71994644977872977920:090405251129064956422934998862</t>
  </si>
  <si>
    <t>2025-11-29T07:45:19.858Z</t>
  </si>
  <si>
    <t>DBX4OMX0p8fcxb883Usb5</t>
  </si>
  <si>
    <t>090405251129054649867606044355</t>
  </si>
  <si>
    <t>NIBSS:9011971014:DESTINY CHIMAZA NWANKWO:DESTINY CHIM Trf for Customer AT68 TRF2MPT6lrv61994629092601884672:090405251129054649867606044355</t>
  </si>
  <si>
    <t>2025-11-29T07:45:19.783Z</t>
  </si>
  <si>
    <t>MV3J60GotnyMc6hF0fFx_</t>
  </si>
  <si>
    <t>100004251128050731146292376622</t>
  </si>
  <si>
    <t>NIBSS:9011971014:DARLINGTON CHIGOZIE ANDREW:Transfer from DARLINGTON CHIGOZIE ANDREW:100004251128050731146292376622</t>
  </si>
  <si>
    <t>2025-11-28T05:08:05.036Z</t>
  </si>
  <si>
    <t>uQ1DdPeqfQUasbA1iSKHc</t>
  </si>
  <si>
    <t>100004251128035841146291917875</t>
  </si>
  <si>
    <t>NIBSS:9011971014:FRIDAY CHUKWUKA GODWIN:Transfer from FRIDAY CHUKWUKA GODWIN:100004251128035841146291917875</t>
  </si>
  <si>
    <t>2025-11-28T03:59:03.467Z</t>
  </si>
  <si>
    <t>LpIkCdvgDzT9Qr0H0MMPC</t>
  </si>
  <si>
    <t>100004251128035708146291917122</t>
  </si>
  <si>
    <t>NIBSS:9011971014:ONYEDIKACHUKWU SOLOMON OKOLI:Transfer from ONYEDIKACHUKWU SOLOMON OKOLI:100004251128035708146291917122</t>
  </si>
  <si>
    <t>2025-11-28T03:58:05.806Z</t>
  </si>
  <si>
    <t>nfkB97vGvvudB-Jef_FDk</t>
  </si>
  <si>
    <t>100004251128035743146291948858</t>
  </si>
  <si>
    <t>NIBSS:9011971014:RITA OKERHIBO:Transfer from RITA OKERHIBO:100004251128035743146291948858</t>
  </si>
  <si>
    <t>2025-11-28T03:58:05.615Z</t>
  </si>
  <si>
    <t>XxazCAIzN8J16ISEeBP-Z</t>
  </si>
  <si>
    <t>100006251128045841998123800683</t>
  </si>
  <si>
    <t>NIBSS:9011971014:MBAMAH CHIBUIKE JOVITA:App  To Polaris Bank CBI-TECH - Mr Chuks:100006251128045841998123800683</t>
  </si>
  <si>
    <t>2025-11-28T03:58:05.559Z</t>
  </si>
  <si>
    <t>c-oCWtpfSv7NBxU4n1Qwq</t>
  </si>
  <si>
    <t>100004251128035701146291924953</t>
  </si>
  <si>
    <t>NIBSS:9011971014:DARLINGTON CHIGOZIE ANDREW:Transfer from DARLINGTON CHIGOZIE ANDREW:100004251128035701146291924953</t>
  </si>
  <si>
    <t>2025-11-28T03:58:05.473Z</t>
  </si>
  <si>
    <t>aVxv71-EnX13MUJX042x6</t>
  </si>
  <si>
    <t>100004251128035711146291948624</t>
  </si>
  <si>
    <t>NIBSS:9011971014:ALEX IFEANYI IDIMOGU:Transfer from ALEX IFEANYI IDIMOGU:100004251128035711146291948624</t>
  </si>
  <si>
    <t>2025-11-28T03:58:05.119Z</t>
  </si>
  <si>
    <t>9nRmpUanqDwAG-8ckjsUI</t>
  </si>
  <si>
    <t>100004251128035510146291916228</t>
  </si>
  <si>
    <t>NIBSS:9011971014:FAITH UCHEOMA ONUOHA:Transfer from FAITH UCHEOMA ONUOHA:100004251128035510146291916228</t>
  </si>
  <si>
    <t>2025-11-28T03:56:05.869Z</t>
  </si>
  <si>
    <t>TST-11/28/2025_1922</t>
  </si>
  <si>
    <t>2025-11-28T01:00:05.685Z</t>
  </si>
  <si>
    <t>alB8HGz5K191or5CsKiE5</t>
  </si>
  <si>
    <t>100004251127043120146213622309</t>
  </si>
  <si>
    <t>NIBSS:9011971014:EMMANUEL FRIDAY UMOH:Transfer from EMMANUEL FRIDAY UMOH:100004251127043120146213622309</t>
  </si>
  <si>
    <t>2025-11-27T04:32:20.676Z</t>
  </si>
  <si>
    <t>ytyC1aJr1vCGwbz6T5f4n</t>
  </si>
  <si>
    <t>000013251127052600000572982512</t>
  </si>
  <si>
    <t>NIBSS:9011971014:AMOUSSOU JOHN SEBASTIEN:USSD NIP Transfer from  09163078978 to CBI-TECH - Mr Chuks Catering Se:000013251127052600000572982512</t>
  </si>
  <si>
    <t>2025-11-27T04:32:19.739Z</t>
  </si>
  <si>
    <t>TRN-uSW7X2iwR_sJ5mMFUCmWQ</t>
  </si>
  <si>
    <t>000008251127052746066581872307</t>
  </si>
  <si>
    <t>2025-11-27T04:27:37.179Z</t>
  </si>
  <si>
    <t>pVPNGfQB2mYUb5JRABWjH</t>
  </si>
  <si>
    <t>100004251127031336146213336950</t>
  </si>
  <si>
    <t>NIBSS:9011971014:DARLINGTON CHIGOZIE ANDREW:Transfer from DARLINGTON CHIGOZIE ANDREW:100004251127031336146213336950</t>
  </si>
  <si>
    <t>2025-11-27T03:14:04.352Z</t>
  </si>
  <si>
    <t>v3suyJ8m8ObLogEGIaNOj</t>
  </si>
  <si>
    <t>2025-11-27T03:10:18.695Z</t>
  </si>
  <si>
    <t>SYu0v8zBRM9XvoL6I-C-n</t>
  </si>
  <si>
    <t>2025-11-27T03:07:45.382Z</t>
  </si>
  <si>
    <t>POoExBRVDaIoFCh8E4jBS</t>
  </si>
  <si>
    <t>100004251127030520146213008169</t>
  </si>
  <si>
    <t>NIBSS:9011971014:ANNA ANOYI JOHN:Transfer from ANNA ANOYI JOHN:100004251127030520146213008169</t>
  </si>
  <si>
    <t>2025-11-27T03:06:04.666Z</t>
  </si>
  <si>
    <t>JbA_pz8hKJMdgk5BtAQUF</t>
  </si>
  <si>
    <t>100004251127030149146213238662</t>
  </si>
  <si>
    <t>NIBSS:9011971014:SIMON NJOKU:Transfer from SIMON NJOKU:100004251127030149146213238662</t>
  </si>
  <si>
    <t>2025-11-27T03:02:03.290Z</t>
  </si>
  <si>
    <t>yVm0PU2eUh_b81E2LHdwT</t>
  </si>
  <si>
    <t>100004251127024926146213106659</t>
  </si>
  <si>
    <t>NIBSS:9011971014:DARLINGTON CHIGOZIE ANDREW:Transfer from DARLINGTON CHIGOZIE ANDREW:100004251127024926146213106659</t>
  </si>
  <si>
    <t>2025-11-27T02:50:06.145Z</t>
  </si>
  <si>
    <t>lrKPbC8Kno_CbC7KSkcis</t>
  </si>
  <si>
    <t>100004251127024925146213149790</t>
  </si>
  <si>
    <t>NIBSS:9011971014:HILLARY CHINECHEREMO ANYAKOHA:Transfer from HILLARY CHINECHEREMO ANYAKOHA:100004251127024925146213149790</t>
  </si>
  <si>
    <t>2025-11-27T02:50:05.478Z</t>
  </si>
  <si>
    <t>7a5wiDHLnboiDdfq-TWfN</t>
  </si>
  <si>
    <t>2025-11-27T02:48:47.760Z</t>
  </si>
  <si>
    <t>UeitMc3LK7CCppIG67YmZ</t>
  </si>
  <si>
    <t>2025-11-27T02:48:07.171Z</t>
  </si>
  <si>
    <t>6KqMLWQZZ_XTLAdvWxMxD</t>
  </si>
  <si>
    <t>100006251127034813954719887527</t>
  </si>
  <si>
    <t>NIBSS:9011971014:LINDA  AYAKM MOGBOR:NXG  MOBILE TRF TO POB CBI  TECH   Mr Ch:100006251127034813954719887527</t>
  </si>
  <si>
    <t>2025-11-27T02:47:04.184Z</t>
  </si>
  <si>
    <t>qVMmUeEHziP44qDnE6CM-</t>
  </si>
  <si>
    <t>100004251127024408146213104863</t>
  </si>
  <si>
    <t>NIBSS:9011971014:HILLARY CHINECHEREMO ANYAKOHA:Transfer from HILLARY CHINECHEREMO ANYAKOHA:100004251127024408146213104863</t>
  </si>
  <si>
    <t>2025-11-27T02:45:04.580Z</t>
  </si>
  <si>
    <t>gRL69SkBKWu6yD5XyJ7lm</t>
  </si>
  <si>
    <t>2025-11-27T02:44:54.242Z</t>
  </si>
  <si>
    <t>65pNaxa3-WeRC2eCM_PC-</t>
  </si>
  <si>
    <t>2025-11-27T02:42:12.065Z</t>
  </si>
  <si>
    <t>TST-11/24/2025_1922</t>
  </si>
  <si>
    <t>2025-11-24T01:00:05.970Z</t>
  </si>
  <si>
    <t>dYTd9Y_MMR_RTkhJlWZY4</t>
  </si>
  <si>
    <t>2025-11-23T13:58:22.722Z</t>
  </si>
  <si>
    <t>TRN-YyR2To0kfG2nqnZCxNl3r</t>
  </si>
  <si>
    <t>000008251122080704624336146009</t>
  </si>
  <si>
    <t>2025-11-22T07:06:55.510Z</t>
  </si>
  <si>
    <t>TRN-LLbBDOusLdLyMV_-_3xdM</t>
  </si>
  <si>
    <t>000008251120183629589772465807</t>
  </si>
  <si>
    <t>2025-11-20T17:36:20.702Z</t>
  </si>
  <si>
    <t>TST-11/17/2025_1922</t>
  </si>
  <si>
    <t>2025-11-17T01:00:04.844Z</t>
  </si>
  <si>
    <t>TRN-cVhiSM0yZFthJc1pk0brY</t>
  </si>
  <si>
    <t>000008251116190106466741612909</t>
  </si>
  <si>
    <t>2025-11-16T18:00:57.834Z</t>
  </si>
  <si>
    <t>fGG5-DFaIzxGxIHZ8Sr79</t>
  </si>
  <si>
    <t>54.287499999999994</t>
  </si>
  <si>
    <t>2025-11-16T13:33:54.215Z</t>
  </si>
  <si>
    <t>20qZ_fRSZ12-dtUwrq0u9</t>
  </si>
  <si>
    <t>090405251115072104272050784170</t>
  </si>
  <si>
    <t>NIBSS:9011971014:NKEM LILIAN JEGBEFUME:NKEM LILIAN  Trf for Customer AT68 TRF2MPT68x6m1989579382954676224:090405251115072104272050784170</t>
  </si>
  <si>
    <t>2025-11-15T06:22:04.087Z</t>
  </si>
  <si>
    <t>TRN-ioeCKuRJcGctLZHj0bm_Q</t>
  </si>
  <si>
    <t>000008251113113150310885948809</t>
  </si>
  <si>
    <t>2025-11-13T10:31:41.470Z</t>
  </si>
  <si>
    <t>N4jnnIy0gKmLHNSTKFL3E</t>
  </si>
  <si>
    <t>000007251113053134598219979057</t>
  </si>
  <si>
    <t>NIBSS:9011971014:ONYEDIKACHUKWU SOLOMON OKOLI:ONB TRF FROM ONYEDIKACH   6543 FBP:000007251113053134598219979057</t>
  </si>
  <si>
    <t>2025-11-13T04:32:03.404Z</t>
  </si>
  <si>
    <t>TRN-YMq0mMyuh87QF7mlhdc9t</t>
  </si>
  <si>
    <t>000008251111161921761464858808</t>
  </si>
  <si>
    <t>2025-11-11T15:19:13.306Z</t>
  </si>
  <si>
    <t>TRN-Y8Pgwb51ZMWZf7_cn59i0</t>
  </si>
  <si>
    <t>000008251111160915155834821807</t>
  </si>
  <si>
    <t>2025-11-11T15:09:04.854Z</t>
  </si>
  <si>
    <t>RTCjrItj6dvJ8R91AVb-q</t>
  </si>
  <si>
    <t>2025-11-09T16:58:39.616Z</t>
  </si>
  <si>
    <t>a32rUjM08HpImZmzN6GdN</t>
  </si>
  <si>
    <t>2025-11-09T16:56:54.709Z</t>
  </si>
  <si>
    <t>8RChmEEOvdB1OS5wJMPAx</t>
  </si>
  <si>
    <t>100004251109125924144929178805</t>
  </si>
  <si>
    <t>NIBSS:9011971014:OGECHI NANCY NDIMELE:Nancy:100004251109125924144929178805</t>
  </si>
  <si>
    <t>2025-11-09T13:00:06.466Z</t>
  </si>
  <si>
    <t>ik0qKLwqRFhMOSp2rqRvn</t>
  </si>
  <si>
    <t>100004251109125529144929023634</t>
  </si>
  <si>
    <t>NIBSS:9011971014:BENITA PEACE EJIRISON:Transfer from BENITA PEACE EJIRISON:100004251109125529144929023634</t>
  </si>
  <si>
    <t>2025-11-09T12:56:06.870Z</t>
  </si>
  <si>
    <t>kFyQx8AGn0TjJxdmSkIRe</t>
  </si>
  <si>
    <t>090405251106064230777003988993</t>
  </si>
  <si>
    <t>NIBSS:9011971014:PRINCE MEFFCO LUXURY WEARS:Uniform 6 yards  AT68 TRF2MPT7e0031986308187969855488:090405251106064230777003988993</t>
  </si>
  <si>
    <t>2025-11-06T05:43:04.850Z</t>
  </si>
  <si>
    <t>hodOiHMjK7NUhV_fzC8J7</t>
  </si>
  <si>
    <t>100004251106050634144677255881</t>
  </si>
  <si>
    <t>NIBSS:9011971014:RITA OKERHIBO:Transfer from RITA OKERHIBO:100004251106050634144677255881</t>
  </si>
  <si>
    <t>2025-11-06T05:07:08.995Z</t>
  </si>
  <si>
    <t>TRN-SSc2-UyqieNd_urPKfAnl</t>
  </si>
  <si>
    <t>000008251105163514314749823507</t>
  </si>
  <si>
    <t>2025-11-05T15:35:04.279Z</t>
  </si>
  <si>
    <t>OG97KbJmluQbbXfHjWqBE</t>
  </si>
  <si>
    <t>100004251104175317144583501704</t>
  </si>
  <si>
    <t>NIBSS:9011971014:CHIZOBA PECULIAR NWOSU:Transfer from CHIZOBA PECULIAR NWOSU:100004251104175317144583501704</t>
  </si>
  <si>
    <t>2025-11-04T17:54:10.003Z</t>
  </si>
  <si>
    <t>TRN-nmLqJqRhN2GW8e03gMX-U</t>
  </si>
  <si>
    <t>000008251104081116676675040109</t>
  </si>
  <si>
    <t>2025-11-04T07:11:07.830Z</t>
  </si>
  <si>
    <t>TRN-NENATWXOCb5qKJPBhfTbI</t>
  </si>
  <si>
    <t>000008251103171505905757057308</t>
  </si>
  <si>
    <t>2025-11-03T16:14:57.442Z</t>
  </si>
  <si>
    <t>TRN-3eJPKlkJLUIDzKHYWW2Zl</t>
  </si>
  <si>
    <t>000008251103085421861387028509</t>
  </si>
  <si>
    <t>2025-11-03T07:54:12.684Z</t>
  </si>
  <si>
    <t>TRN-BPMyAd5lw-9DT_RbQKqI2</t>
  </si>
  <si>
    <t>000008251102104940380735489809</t>
  </si>
  <si>
    <t>2025-11-02T09:49:29.759Z</t>
  </si>
  <si>
    <t>TRN-wbfoI1hsJKECHHwA0joXs</t>
  </si>
  <si>
    <t>000008251101155015015308942908</t>
  </si>
  <si>
    <t>2025-11-01T14:50:06.735Z</t>
  </si>
  <si>
    <t>TRN-zBKNBHA3hAePzg-M-RSgu</t>
  </si>
  <si>
    <t>000008251101124313793339438309</t>
  </si>
  <si>
    <t>2025-11-01T11:43:04.539Z</t>
  </si>
  <si>
    <t>TRN-6HIF39E9DGCE543EAII162HIH4F93D84</t>
  </si>
  <si>
    <t>2025-11-01T01:03:24.999Z</t>
  </si>
  <si>
    <t>FCEwgR-xAbOhSaflLYrVA</t>
  </si>
  <si>
    <t>100033251031111325607165527179</t>
  </si>
  <si>
    <t>NIBSS:9011971014:FAITH CHISOM OKAFOR:FAITH CHISOM OKAFOR 9065244793:100033251031111325607165527179</t>
  </si>
  <si>
    <t>2025-10-31T11:14:12.292Z</t>
  </si>
  <si>
    <t>TRN-Rszrp7K2IxVQdcUN8Rieo</t>
  </si>
  <si>
    <t>2025-10-30T22:41:07.299Z</t>
  </si>
  <si>
    <t>Dmonruwp6NVbE300Hq1nZ</t>
  </si>
  <si>
    <t>100004251030152221144196136562</t>
  </si>
  <si>
    <t>NIBSS:9011971014:GINIKACHUKWU ESTHER ONYILIOFOR:Personal Transfer:100004251030152221144196136562</t>
  </si>
  <si>
    <t>2025-10-30T15:27:09.248Z</t>
  </si>
  <si>
    <t>PfonVAvvo91u2ql8t8X2g</t>
  </si>
  <si>
    <t>100004251030072208144161638187</t>
  </si>
  <si>
    <t>NIBSS:9011971014:GINIKACHUKWU ESTHER ONYILIOFOR:Transfer from GINIKACHUKWU ESTHER ONYILIOFOR:100004251030072208144161638187</t>
  </si>
  <si>
    <t>2025-10-30T07:32:13.179Z</t>
  </si>
  <si>
    <t>62xwTW3BNA855H4z-MTZ8</t>
  </si>
  <si>
    <t>090267251030050557135017883632</t>
  </si>
  <si>
    <t>NIBSS:9011971014:OKAFOR, IBETO MICHAEL:church gate:090267251030050557135017883632</t>
  </si>
  <si>
    <t>2025-10-30T05:06:08.343Z</t>
  </si>
  <si>
    <t>Wb6SfpkbCIv51EERzwvHd</t>
  </si>
  <si>
    <t>100004251029213123144152726144</t>
  </si>
  <si>
    <t>NIBSS:9011971014:RITA OKERHIBO:Transfer from RITA OKERHIBO:100004251029213123144152726144</t>
  </si>
  <si>
    <t>2025-10-29T21:32:40.620Z</t>
  </si>
  <si>
    <t>6NsSkjWwu46-N3-TUrkA1</t>
  </si>
  <si>
    <t>100004251029092229144097288392</t>
  </si>
  <si>
    <t>NIBSS:9011971014:GINIKACHUKWU ESTHER ONYILIOFOR:Transfer from GINIKACHUKWU ESTHER ONYILIOFOR:100004251029092229144097288392</t>
  </si>
  <si>
    <t>2025-10-29T09:23:10.444Z</t>
  </si>
  <si>
    <t>mb9VDpy0v5TRA1ZZY-XIk</t>
  </si>
  <si>
    <t>100006251026133549602072513241</t>
  </si>
  <si>
    <t>NIBSS:9011971014:ENOCH JUNIOR OKECHUKWU:NXG  MOBILE TRF TO POB CBI  TECH   Mr Ch:100006251026133549602072513241</t>
  </si>
  <si>
    <t>2025-10-26T12:36:10.588Z</t>
  </si>
  <si>
    <t>TRN-j4zIenMrRDn9fk4Dbtp-X</t>
  </si>
  <si>
    <t>000008251024101924964724974407</t>
  </si>
  <si>
    <t>2025-10-24T09:19:15.635Z</t>
  </si>
  <si>
    <t>Iqj4RzDmRlrHzrhLYMKZS</t>
  </si>
  <si>
    <t>100004251024074827143745867069</t>
  </si>
  <si>
    <t>NIBSS:9011971014:RITA OKERHIBO:Transfer from RITA OKERHIBO:100004251024074827143745867069</t>
  </si>
  <si>
    <t>2025-10-24T07:49:08.792Z</t>
  </si>
  <si>
    <t>TST-10/24/2025_1922</t>
  </si>
  <si>
    <t>2025-10-24T01:00:02.713Z</t>
  </si>
  <si>
    <t>7nNq1mC-Ls_8icCAq0u39</t>
  </si>
  <si>
    <t>000003251023220624004398524503</t>
  </si>
  <si>
    <t>NIBSS:9011971014:EGWUATU INNOCENT EMEKA:AppUniform 12 yards To Polaris Bank CBITECH  Mr Chuks Cateri:000003251023220624004398524503</t>
  </si>
  <si>
    <t>2025-10-23T21:07:06.552Z</t>
  </si>
  <si>
    <t>TRN-wFuUfVJ6ZeT09BUd7vxs_</t>
  </si>
  <si>
    <t>000008251023212533533373990609</t>
  </si>
  <si>
    <t>2025-10-23T20:25:24.668Z</t>
  </si>
  <si>
    <t>FLxCAHcLCaAfpneViTohE</t>
  </si>
  <si>
    <t>2025-10-23T04:15:55.225Z</t>
  </si>
  <si>
    <t>rBFxSIdVhntat1q1mQeTt</t>
  </si>
  <si>
    <t>100004251023041214143669895144</t>
  </si>
  <si>
    <t>NIBSS:9011971014:LINDA AYAKAM MOGBOR:Transfer from LINDA AYAKAM MOGBOR:100004251023041214143669895144</t>
  </si>
  <si>
    <t>2025-10-23T04:13:08.109Z</t>
  </si>
  <si>
    <t>oUdsiJFw7s5uwrLTy8uaB</t>
  </si>
  <si>
    <t>2025-10-23T04:10:46.594Z</t>
  </si>
  <si>
    <t>TRN-7wPLvWVQWGP8CofScNphR</t>
  </si>
  <si>
    <t>000008251022214329209584405408</t>
  </si>
  <si>
    <t>2025-10-22T20:43:21.294Z</t>
  </si>
  <si>
    <t>AQbnOeisefnM0sRMhmsew</t>
  </si>
  <si>
    <t>100004251022095119143615974231</t>
  </si>
  <si>
    <t>NIBSS:9011971014:RITA OKERHIBO:Transfer from RITA OKERHIBO:100004251022095119143615974231</t>
  </si>
  <si>
    <t>2025-10-22T09:52:07.749Z</t>
  </si>
  <si>
    <t>2x-meejWgI3YCL_Gi9dUV</t>
  </si>
  <si>
    <t>000016251021134435000841338014</t>
  </si>
  <si>
    <t>NIBSS:9011971014:OKAFOR SIMON NZE &amp; BEATRICE:FIP IBPS  OKAFOR SIMON NZE   PHUB OUTWARD7755877-0 CBI-TECH - MR CHUKS:000016251021134435000841338014</t>
  </si>
  <si>
    <t>2025-10-21T12:45:40.992Z</t>
  </si>
  <si>
    <t>TRN-tu-lQCjK_ulEYV44f0S-6</t>
  </si>
  <si>
    <t>000008251021081320200227911809</t>
  </si>
  <si>
    <t>2025-10-21T07:13:10.769Z</t>
  </si>
  <si>
    <t>DltMCQByyzF57ppfXXHnC</t>
  </si>
  <si>
    <t>100033251021055440974555866612</t>
  </si>
  <si>
    <t>NIBSS:9011971014:CHUKS EMMANUEL NWACHUKWU:CHUKS EMMANUEL NWACHUKWU 9550522697:100033251021055440974555866612</t>
  </si>
  <si>
    <t>2025-10-21T05:55:17.678Z</t>
  </si>
  <si>
    <t>FgZvubCasBoR9-u-NXn99</t>
  </si>
  <si>
    <t>090405251020193642473378444404</t>
  </si>
  <si>
    <t>NIBSS:9011971014:NKEM LILIAN JEGBEFUME:NKEM LILIAN  Trf for Customer AT68 TRF2MPT68x6m1980342425965899776:090405251020193642473378444404</t>
  </si>
  <si>
    <t>2025-10-20T18:37:19.047Z</t>
  </si>
  <si>
    <t>XJ6nodxhpqnDiaqB6IAg9</t>
  </si>
  <si>
    <t>100004251020183652143513806137</t>
  </si>
  <si>
    <t>NIBSS:9011971014:WISDOM NKEM OSSAI:Transfer from WISDOM NKEM OSSAI:100004251020183652143513806137</t>
  </si>
  <si>
    <t>2025-10-20T18:37:18.589Z</t>
  </si>
  <si>
    <t>TRN-0JVomnsZUePwJ89iw8XFx</t>
  </si>
  <si>
    <t>000008251020101630190131254407</t>
  </si>
  <si>
    <t>2025-10-20T09:16:20.813Z</t>
  </si>
  <si>
    <t>TRN-pL9J4v-5bZG4OYkYNShkE</t>
  </si>
  <si>
    <t>000008251020091335415102098207</t>
  </si>
  <si>
    <t>2025-10-20T08:13:23.775Z</t>
  </si>
  <si>
    <t>3LTCbRjwMlHCfBBwEhUek</t>
  </si>
  <si>
    <t>100006251019133746301882589685</t>
  </si>
  <si>
    <t>NIBSS:9011971014:CHINEDU LEVI NWOKEJI:NXG  MOBILE TRF TO POB CBI  TECH   Mr Ch:100006251019133746301882589685</t>
  </si>
  <si>
    <t>2025-10-19T12:38:21.534Z</t>
  </si>
  <si>
    <t>o2DapcP01qjwvh3cGGeUO</t>
  </si>
  <si>
    <t>100004251018094349143343993649</t>
  </si>
  <si>
    <t>NIBSS:9011971014:EDITH CHIOMA ONYEKACHI:Transfer from EDITH CHIOMA ONYEKACHI:100004251018094349143343993649</t>
  </si>
  <si>
    <t>2025-10-18T09:45:13.437Z</t>
  </si>
  <si>
    <t>TRN-J_wnvC5tSFwDgywXhWMQS</t>
  </si>
  <si>
    <t>000008251018091505705724934808</t>
  </si>
  <si>
    <t>2025-10-18T08:14:55.884Z</t>
  </si>
  <si>
    <t>TRN-aDICKM4Cz67o1PJ7jtjEK</t>
  </si>
  <si>
    <t>000008251017224243763750366309</t>
  </si>
  <si>
    <t>2025-10-17T21:42:33.219Z</t>
  </si>
  <si>
    <t>TRN-0ri1SzEySj88n9CHDMc3a</t>
  </si>
  <si>
    <t>2025-10-17T21:38:47.969Z</t>
  </si>
  <si>
    <t>TRN-kPo0maHiJCk4rzkArdaPL</t>
  </si>
  <si>
    <t>000008251017160758078150865307</t>
  </si>
  <si>
    <t>2025-10-17T15:07:47.282Z</t>
  </si>
  <si>
    <t>vWNEPI55nv651FGZJK1pI</t>
  </si>
  <si>
    <t>100033251017091648740310065939</t>
  </si>
  <si>
    <t>NIBSS:9011971014:FAITH CHISOM OKAFOR:FAITH CHISOM OKAFOR 9065244793:100033251017091648740310065939</t>
  </si>
  <si>
    <t>2025-10-17T09:19:52.599Z</t>
  </si>
  <si>
    <t>9Oucw_z-WySIQ12dOq4O4</t>
  </si>
  <si>
    <t>000013251016214112000483337072</t>
  </si>
  <si>
    <t>NIBSS:9011971014:ODENIGBO JOY ANULIKA:For 3 yards of Ankara to CBI-TECH - Mr Chuks Catering Service  0000132:000013251016214112000483337072</t>
  </si>
  <si>
    <t>2025-10-16T20:42:09.383Z</t>
  </si>
  <si>
    <t>BlAjdu3G285T2LgkAf2CD</t>
  </si>
  <si>
    <t>000016251016054634000813202858</t>
  </si>
  <si>
    <t>NIBSS:9011971014:ANDREW CHIGOZIE DARGLINTON:FIP MB  ANDREW CHIGOZIE DA FBNMOBILE CBI TECH   MR CHUKS CATERING SERV:000016251016054634000813202858</t>
  </si>
  <si>
    <t>2025-10-16T04:47:07.840Z</t>
  </si>
  <si>
    <t>eGPWaM6CA61wmd0Sr6zEF</t>
  </si>
  <si>
    <t>100006251016050500547768441367</t>
  </si>
  <si>
    <t>NIBSS:9011971014:CHRISTIAN KELECHI EZENWAOKOLO:NXG  MOBILE TRF TO POB CBI  TECH   Mr Ch:100006251016050500547768441367</t>
  </si>
  <si>
    <t>2025-10-16T04:05:08.457Z</t>
  </si>
  <si>
    <t>7Is4qsduD9PSG330wJcSE</t>
  </si>
  <si>
    <t>100004251016040124143190245170</t>
  </si>
  <si>
    <t>NIBSS:9011971014:EMMANUEL CHIKA EGWUATU:Transfer from EMMANUEL CHIKA EGWUATU:100004251016040124143190245170</t>
  </si>
  <si>
    <t>2025-10-16T04:02:08.521Z</t>
  </si>
  <si>
    <t>EKYPMBKjtyZw0jt4b9fwS</t>
  </si>
  <si>
    <t>100004251016035519143190242724</t>
  </si>
  <si>
    <t>NIBSS:9011971014:NWAKEGO FAVOUR NNAMOKO:Transfer from NWAKEGO FAVOUR NNAMOKO:100004251016035519143190242724</t>
  </si>
  <si>
    <t>2025-10-16T03:56:08.069Z</t>
  </si>
  <si>
    <t>5QVPQ4JdeJTkM-mdIMpfu</t>
  </si>
  <si>
    <t>100004251016035449143190550924</t>
  </si>
  <si>
    <t>NIBSS:9011971014:MMADUABUCHI MACEELINUS OKEKE:Transfer from MMADUABUCHI MACEELINUS OKEKE:100004251016035449143190550924</t>
  </si>
  <si>
    <t>2025-10-16T03:55:09.694Z</t>
  </si>
  <si>
    <t>_tH66_Ym54DW_K5GkyF3K</t>
  </si>
  <si>
    <t>100006251015154903670713217707</t>
  </si>
  <si>
    <t>NIBSS:9011971014:HENRY SOMTOCHUKWU ENUGWULIKE:NXG  MOBILE TRF TO POB VGPC FENCING CBI:100006251015154903670713217707</t>
  </si>
  <si>
    <t>2025-10-15T14:49:19.178Z</t>
  </si>
  <si>
    <t>TRN-eR_zjmHxovLagPcTEPaFx</t>
  </si>
  <si>
    <t>000008251013222628188291416708</t>
  </si>
  <si>
    <t>2025-10-13T21:26:19.558Z</t>
  </si>
  <si>
    <t>TRN-RUd6NxrUAYTqZKqr9zyHt</t>
  </si>
  <si>
    <t>000008251013222021821373055108</t>
  </si>
  <si>
    <t>2025-10-13T21:20:10.350Z</t>
  </si>
  <si>
    <t>parEpNpFXwGLB111RmX8y</t>
  </si>
  <si>
    <t>100004251012181110142967240229</t>
  </si>
  <si>
    <t>NIBSS:9011971014:ELIAS OBIKWE:Transfer from ELIAS OBIKWE:100004251012181110142967240229</t>
  </si>
  <si>
    <t>2025-10-12T18:12:06.602Z</t>
  </si>
  <si>
    <t>YLH0ZzOahj0a6WQ-9RDp6</t>
  </si>
  <si>
    <t>100004251012130241142947901879</t>
  </si>
  <si>
    <t>NIBSS:9011971014:RITA UWAKWE:Transfer from RITA UWAKWE:100004251012130241142947901879</t>
  </si>
  <si>
    <t>2025-10-12T13:03:08.114Z</t>
  </si>
  <si>
    <t>lQ3ODq1bWQTBPvb9rZBPV</t>
  </si>
  <si>
    <t>100033251012123536542293967679</t>
  </si>
  <si>
    <t>NIBSS:9011971014:NGOZIKA ANGELA OBIAJULU:NGOZIKA ANGELA OBIAJULU 8121385117:100033251012123536542293967679</t>
  </si>
  <si>
    <t>2025-10-12T12:36:08.987Z</t>
  </si>
  <si>
    <t>mw1E___L3gNiEg_-MbbM7</t>
  </si>
  <si>
    <t>100004251012121556142945526722</t>
  </si>
  <si>
    <t>NIBSS:9011971014:BONIFACE PAUL ASIEGBU:Transfer from BONIFACE PAUL ASIEGBU:100004251012121556142945526722</t>
  </si>
  <si>
    <t>2025-10-12T12:16:18.929Z</t>
  </si>
  <si>
    <t>6wnZlWrHJsC26R6eznN0f</t>
  </si>
  <si>
    <t>100033251011083108937137700117</t>
  </si>
  <si>
    <t>NIBSS:9011971014:NGOZIKA ANGELA OBIAJULU:NGOZIKA ANGELA OBIAJULU 8121385117:100033251011083108937137700117</t>
  </si>
  <si>
    <t>2025-10-11T08:32:24.281Z</t>
  </si>
  <si>
    <t>irefc5QGuWMLg3-uhbndY</t>
  </si>
  <si>
    <t>100033251011054958426721429396</t>
  </si>
  <si>
    <t>NIBSS:9011971014:DARLINGTON CHIGOZIE ANDREW:from Able Men of VGPC:100033251011054958426721429396</t>
  </si>
  <si>
    <t>2025-10-11T05:50:13.001Z</t>
  </si>
  <si>
    <t>On8cc3cxGARJwP0bm-sIv</t>
  </si>
  <si>
    <t>000013251010090712000469406639</t>
  </si>
  <si>
    <t>NIBSS:9011971014:ODENIGBO JOY ANULIKA:For Gate to CBI-TECH - Mr Chuks Catering Service  00001325101009071200:000013251010090712000469406639</t>
  </si>
  <si>
    <t>2025-10-10T08:08:11.889Z</t>
  </si>
  <si>
    <t>p6tFCGE4_OGJGXKHKYGRF</t>
  </si>
  <si>
    <t>100033251010075857911821165859</t>
  </si>
  <si>
    <t>NIBSS:9011971014:DAVID OLOYEDE AYENURO:DAVID OLOYEDE AYENURO 9066202858:100033251010075857911821165859</t>
  </si>
  <si>
    <t>2025-10-10T07:59:14.594Z</t>
  </si>
  <si>
    <t>TRN-Z3eweSf6zNJ4l583VsN-Y</t>
  </si>
  <si>
    <t>000008251006201139299484795909</t>
  </si>
  <si>
    <t>2025-10-06T19:11:27.049Z</t>
  </si>
  <si>
    <t>TRN-c09ujgMwIwTzlDUcpJKWP</t>
  </si>
  <si>
    <t>000008251003143007607340099608</t>
  </si>
  <si>
    <t>2025-10-03T13:29:59.620Z</t>
  </si>
  <si>
    <t>TRN-9DWM5jAukNJ6eAi6ZOFUU</t>
  </si>
  <si>
    <t>000008251003135405445406777309</t>
  </si>
  <si>
    <t>2025-10-03T12:53:55.430Z</t>
  </si>
  <si>
    <t>TST-10/03/2025_1922</t>
  </si>
  <si>
    <t>BFS Settlement 10/2/2025</t>
  </si>
  <si>
    <t>2025-10-03T01:00:02.223Z</t>
  </si>
  <si>
    <t>2VB5qLCJV09DL20kKMk5x</t>
  </si>
  <si>
    <t>100004251002161542142264123024</t>
  </si>
  <si>
    <t>NIBSS:9011971014:CHINWENDU DIAKU:Transfer from CHINWENDU DIAKU:100004251002161542142264123024</t>
  </si>
  <si>
    <t>2025-10-02T16:16:17.369Z</t>
  </si>
  <si>
    <t>2h1gEdQIsAcvmxmtPndnL</t>
  </si>
  <si>
    <t>100004251002014719142219805956</t>
  </si>
  <si>
    <t>NIBSS:9011971014:CHICHEBE EDEH:Transfer from CHICHEBE EDEH:100004251002014719142219805956</t>
  </si>
  <si>
    <t>2025-10-02T01:48:15.877Z</t>
  </si>
  <si>
    <t>dEI156xGdOOTjpqhT25WI</t>
  </si>
  <si>
    <t>100004251002014605142219325200</t>
  </si>
  <si>
    <t>NIBSS:9011971014:EZEKIEL OLUEBUBECHUKWU ALEX:e:100004251002014605142219325200</t>
  </si>
  <si>
    <t>2025-10-02T01:47:12.524Z</t>
  </si>
  <si>
    <t>8llHBDRUmgAjbnzRBEUx5</t>
  </si>
  <si>
    <t>2025-10-02T01:46:59.697Z</t>
  </si>
  <si>
    <t>TKRnFe3_paHVJkzEv5kBe</t>
  </si>
  <si>
    <t>100004251002014450142218340348</t>
  </si>
  <si>
    <t>NIBSS:9011971014:OBIANUJU MERCY NWANZE:Transfer from OBIANUJU MERCY NWANZE:100004251002014450142218340348</t>
  </si>
  <si>
    <t>2025-10-02T01:45:20.291Z</t>
  </si>
  <si>
    <t>P0uFO698ywNRp2bskoFSK</t>
  </si>
  <si>
    <t>100006251002024453548832111378</t>
  </si>
  <si>
    <t>NIBSS:9011971014:CHRISTIAN KELECHI EZENWAOKOLO:NXG  TRFFRM CHRISTIAN KELECHI EZENWAOKOL:100006251002024453548832111378</t>
  </si>
  <si>
    <t>2025-10-02T01:45:19.986Z</t>
  </si>
  <si>
    <t>TRN-AGK9IGEKFKB2JDCJ98HE4G257KIDKHDF</t>
  </si>
  <si>
    <t>2025-10-01T01:03:33.205Z</t>
  </si>
  <si>
    <t>OYC7jKtohqLIsIBFnyBlJ</t>
  </si>
  <si>
    <t>100004250928091619141962306170</t>
  </si>
  <si>
    <t>NIBSS:9011971014:FAITH CHISOM OKAFOR:For Wednesday pledge:100004250928091619141962306170</t>
  </si>
  <si>
    <t>2025-09-28T09:17:09.186Z</t>
  </si>
  <si>
    <t>L5f5MNGfksS-umwYrv7A9</t>
  </si>
  <si>
    <t>090405250926202946088512148295</t>
  </si>
  <si>
    <t>NIBSS:9011971014:OGARANYA CHIDIMA:OGARANYA CHI Trf for Customer AT68 TRF2MPTcosmz1971658472228999168:090405250926202946088512148295</t>
  </si>
  <si>
    <t>2025-09-26T19:30:32.748Z</t>
  </si>
  <si>
    <t>TRN-jsX2EWKkTy5EAFMLn5Xw2</t>
  </si>
  <si>
    <t>000008250926170551151650999109</t>
  </si>
  <si>
    <t>2025-09-26T16:05:40.963Z</t>
  </si>
  <si>
    <t>TST-09/26/2025_1922</t>
  </si>
  <si>
    <t>2025-09-26T01:00:03.303Z</t>
  </si>
  <si>
    <t>dUbD9PahFhblgmXouqEZf</t>
  </si>
  <si>
    <t>090405250925123132430936922051</t>
  </si>
  <si>
    <t>NIBSS:9011971014:MARY MMESOMA OKAFOR:Mary  AT68 TRF2MPT843pn1971175732444377088:090405250925123132430936922051</t>
  </si>
  <si>
    <t>2025-09-25T11:32:07.587Z</t>
  </si>
  <si>
    <t>iaxpB3IXdnIp7oLT-uZWE</t>
  </si>
  <si>
    <t>090267250925112816507017883632</t>
  </si>
  <si>
    <t>NIBSS:9011971014:OKAFOR, IBETO MICHAEL:trf:090267250925112816507017883632</t>
  </si>
  <si>
    <t>2025-09-25T11:30:45.421Z</t>
  </si>
  <si>
    <t>mgiP44A04qbjYSFqcoNr9</t>
  </si>
  <si>
    <t>100004250925060506141747527731</t>
  </si>
  <si>
    <t>NIBSS:9011971014:PROMISE CHISOM UGBENE:Transfer from PROMISE CHISOM UGBENE:100004250925060506141747527731</t>
  </si>
  <si>
    <t>2025-09-25T06:06:07.818Z</t>
  </si>
  <si>
    <t>QU8nqkIkEsVphnk4MF_19</t>
  </si>
  <si>
    <t>100004250925055543141747092771</t>
  </si>
  <si>
    <t>NIBSS:9011971014:MMADUABUCHI MACEELINUS OKEKE:Transfer from MMADUABUCHI MACEELINUS OKEKE:100004250925055543141747092771</t>
  </si>
  <si>
    <t>2025-09-25T05:56:06.800Z</t>
  </si>
  <si>
    <t>oaekh5-UyOcNNARiTIjGF</t>
  </si>
  <si>
    <t>2025-09-25T05:53:17.613Z</t>
  </si>
  <si>
    <t>TRN-40JDC9C32C51CH84E947IK89BD1B48CD</t>
  </si>
  <si>
    <t>2025-09-24T13:22:07.728Z</t>
  </si>
  <si>
    <t>TRN-EK3KBB28FB9881J23JB56KII3K1H46CK</t>
  </si>
  <si>
    <t>2025-09-23T08:25:44.067Z</t>
  </si>
  <si>
    <t>TRN-sAxldIOv9toJAZzK_9put</t>
  </si>
  <si>
    <t>000008250923092410250545314507</t>
  </si>
  <si>
    <t>2025-09-23T08:24:02.490Z</t>
  </si>
  <si>
    <t>TRN-2IDGGmgA7u_Ym1I-YHGYe</t>
  </si>
  <si>
    <t>2025-09-22T19:44:53.449Z</t>
  </si>
  <si>
    <t>TRN-FWbOUlkk3SeO32z6hFu9J</t>
  </si>
  <si>
    <t>2025-09-22T19:40:55.201Z</t>
  </si>
  <si>
    <t>TRN-xxQnzZRKNOC63tT7lsA5p</t>
  </si>
  <si>
    <t>2025-09-22T16:16:34.078Z</t>
  </si>
  <si>
    <t>TRN-IdSqpziCH0wcTK9R9eDVd</t>
  </si>
  <si>
    <t>2025-09-22T16:07:49.881Z</t>
  </si>
  <si>
    <t>TRN-5ZP62693F1-0x07Vh_6Cn</t>
  </si>
  <si>
    <t>2025-09-22T16:02:12.085Z</t>
  </si>
  <si>
    <t>TRN-b7GVwXnWCix95ezQ9zcCt</t>
  </si>
  <si>
    <t>2025-09-22T15:39:08.066Z</t>
  </si>
  <si>
    <t>TRN--EA9hCgrG1rLxdiBtMg4u</t>
  </si>
  <si>
    <t>2025-09-22T15:35:31.018Z</t>
  </si>
  <si>
    <t>TRN-zE01fUykb1Bbt7b_TWj0m</t>
  </si>
  <si>
    <t>2025-09-22T15:31:22.660Z</t>
  </si>
  <si>
    <t>TRN--WjFGHZFyJOmcmuSkr1Wv</t>
  </si>
  <si>
    <t>2025-09-22T15:08:19.896Z</t>
  </si>
  <si>
    <t>TRN-A8Zxb-540h2dyOVJlde-I</t>
  </si>
  <si>
    <t>2025-09-22T15:03:28.948Z</t>
  </si>
  <si>
    <t>TRN-TomQPQcJBiTBHT97Otswa</t>
  </si>
  <si>
    <t>2025-09-22T14:50:44.543Z</t>
  </si>
  <si>
    <t>TRN-F-zyGqP5tcSwvNoDoT8Ze</t>
  </si>
  <si>
    <t>2025-09-22T14:38:23.355Z</t>
  </si>
  <si>
    <t>TRN-ahxcE-ToE70VS41eXHd-o</t>
  </si>
  <si>
    <t>2025-09-22T14:29:00.675Z</t>
  </si>
  <si>
    <t>TRN-EVqiUv9NNqXwXixi5474C</t>
  </si>
  <si>
    <t>2025-09-22T14:18:38.880Z</t>
  </si>
  <si>
    <t>TRN-Rff5WSS5FjIHn_tnDqgQq</t>
  </si>
  <si>
    <t>2025-09-22T14:16:58.425Z</t>
  </si>
  <si>
    <t>TRN-4tlhHQ_g1cwsg4t7tR4Xp</t>
  </si>
  <si>
    <t>2025-09-22T14:14:23.808Z</t>
  </si>
  <si>
    <t>TRN-z8lhd8OQ72PCA-w6cewVw</t>
  </si>
  <si>
    <t>2025-09-22T13:54:07.885Z</t>
  </si>
  <si>
    <t>TRN-Y8Jnhjrmp1m5SB_oqhK76</t>
  </si>
  <si>
    <t>2025-09-22T13:51:59.586Z</t>
  </si>
  <si>
    <t>TRN-Y8j-7a_kdD_fPeA-YURbi</t>
  </si>
  <si>
    <t>2025-09-22T13:34:48.546Z</t>
  </si>
  <si>
    <t>TRN-7KI61F36A72BC92769J3A984K4DC052D</t>
  </si>
  <si>
    <t>2025-09-22T13:08:31.115Z</t>
  </si>
  <si>
    <t>TRN-1796GD17A6DKH8529CDCDID6F691G2C8</t>
  </si>
  <si>
    <t>2025-09-22T13:08:31.113Z</t>
  </si>
  <si>
    <t>TRN-3YnxP-beR5s1RPKEs9KWw</t>
  </si>
  <si>
    <t>2025-09-22T13:05:30.237Z</t>
  </si>
  <si>
    <t>TRN-anOptcVKvHeGgENOcvbbf</t>
  </si>
  <si>
    <t>2025-09-22T13:03:39.526Z</t>
  </si>
  <si>
    <t>TRN-HqFm-F4vysrx0bndTaI6_</t>
  </si>
  <si>
    <t>2025-09-22T12:57:54.071Z</t>
  </si>
  <si>
    <t>TST-09/19/2025_1922</t>
  </si>
  <si>
    <t>BFS Settlement 9/18/2025</t>
  </si>
  <si>
    <t>2025-09-19T01:00:02.980Z</t>
  </si>
  <si>
    <t>HVsF8iQRUvMLZg8bWxUUn</t>
  </si>
  <si>
    <t>2025-09-18T23:00:17.339Z</t>
  </si>
  <si>
    <t>NnKB5DYTv3A8LPe9N-QOj</t>
  </si>
  <si>
    <t>2025-09-18T21:54:04.162Z</t>
  </si>
  <si>
    <t>m3cYf1_dZhbzA9_htcDG-</t>
  </si>
  <si>
    <t>2025-09-18T20:15:57.822Z</t>
  </si>
  <si>
    <t>PMF0jdoCay_PrLYe0sDp7</t>
  </si>
  <si>
    <t>2025-09-18T20:14:59.011Z</t>
  </si>
  <si>
    <t>8u_ginLcv7So1g63GTs6T</t>
  </si>
  <si>
    <t>2025-09-18T20:09:05.156Z</t>
  </si>
  <si>
    <t>Qqzn2j9sYcOAr8-YR3ZRx</t>
  </si>
  <si>
    <t>2025-09-18T20:08:28.338Z</t>
  </si>
  <si>
    <t>TxK6ARwuF9ChZw-9IbvNv</t>
  </si>
  <si>
    <t>2025-09-18T20:08:02.477Z</t>
  </si>
  <si>
    <t>TcgXePJQ4EHZs7hNOZfMa</t>
  </si>
  <si>
    <t>2025-09-18T20:07:30.986Z</t>
  </si>
  <si>
    <t>ERnT1Ms1ulrEuRfr2czLj</t>
  </si>
  <si>
    <t>2025-09-18T20:07:00.284Z</t>
  </si>
  <si>
    <t>q3lzjI-rDBt16Btf1_rhW</t>
  </si>
  <si>
    <t>2025-09-18T19:31:02.808Z</t>
  </si>
  <si>
    <t>fywCRV9VWPxnwVqnlEP5L</t>
  </si>
  <si>
    <t>2025-09-18T19:30:37.856Z</t>
  </si>
  <si>
    <t>iZd_ybT51wYPi-d7xWy8L</t>
  </si>
  <si>
    <t>2025-09-18T19:30:08.783Z</t>
  </si>
  <si>
    <t>N4DyNfTMdeUQkIqu95IV6</t>
  </si>
  <si>
    <t>2025-09-18T19:29:37.643Z</t>
  </si>
  <si>
    <t>JuGM5hrgCA2j8d6j9vuCT</t>
  </si>
  <si>
    <t>2025-09-18T19:29:06.307Z</t>
  </si>
  <si>
    <t>WfWx3gAm0R7hNYO9pAHVp</t>
  </si>
  <si>
    <t>2025-09-18T19:28:33.943Z</t>
  </si>
  <si>
    <t>HL-D05rWpVYj4PGZ4sDaw</t>
  </si>
  <si>
    <t>2025-09-18T19:27:48.561Z</t>
  </si>
  <si>
    <t>jII_jfp38X6CYvJWAwiYx</t>
  </si>
  <si>
    <t>2025-09-18T19:27:15.949Z</t>
  </si>
  <si>
    <t>cknehYCdKKa8_W25A4VnH</t>
  </si>
  <si>
    <t>2025-09-18T19:26:08.843Z</t>
  </si>
  <si>
    <t>TRN-vLbQLhEn77SEKxs0CLPnK</t>
  </si>
  <si>
    <t>000008250918125354834512529409</t>
  </si>
  <si>
    <t>2025-09-18T11:53:44.548Z</t>
  </si>
  <si>
    <t>TRN-8HAC6EICHJC20F195IC4FBG4H772BC9F</t>
  </si>
  <si>
    <t>2025-09-18T09:02:31.806Z</t>
  </si>
  <si>
    <t>1NW4cGFbcwI4B-h7lvwTM</t>
  </si>
  <si>
    <t>2025-09-17T12:48:23.094Z</t>
  </si>
  <si>
    <t>bc22lCH0DsMUD9z2B4xOS</t>
  </si>
  <si>
    <t>100033250911043918609391871275</t>
  </si>
  <si>
    <t>NIBSS:9011971014:CHUKS EMMANUEL NWACHUKWU:CHUKS EMMANUEL NWACHUKWU 9550522697:100033250911043918609391871275</t>
  </si>
  <si>
    <t>2025-09-11T04:40:03.550Z</t>
  </si>
  <si>
    <t>1CFeafGtSF6f-wAbEQ1Ng</t>
  </si>
  <si>
    <t>100033250911042621939972105856</t>
  </si>
  <si>
    <t>NIBSS:9011971014:JUDITH OKWUCHI CHIKEZIE:JUDITH OKWUCHI CHIKEZIE 9551416423:100033250911042621939972105856</t>
  </si>
  <si>
    <t>2025-09-11T04:27:04.345Z</t>
  </si>
  <si>
    <t>sUObdl7pFrdyA3XbcMrX1</t>
  </si>
  <si>
    <t>100004250911042501140825605377</t>
  </si>
  <si>
    <t>NIBSS:9011971014:BLESSING ADA CLETUS:Transfer from BLESSING ADA CLETUS:100004250911042501140825605377</t>
  </si>
  <si>
    <t>2025-09-11T04:26:03.805Z</t>
  </si>
  <si>
    <t>8G3k5jPWE4Uiy8uQfYshz</t>
  </si>
  <si>
    <t>100004250911042509140825605475</t>
  </si>
  <si>
    <t>NIBSS:9011971014:NWAKEGO FAVOUR NNAMOKO:Transfer from NWAKEGO FAVOUR NNAMOKO:100004250911042509140825605475</t>
  </si>
  <si>
    <t>2025-09-11T04:26:03.250Z</t>
  </si>
  <si>
    <t>XzHx5ipsFRKpq1sSYihWE</t>
  </si>
  <si>
    <t>100004250911042453140825971645</t>
  </si>
  <si>
    <t>NIBSS:9011971014:FAITH CHISOM OKAFOR:Transfer from FAITH CHISOM OKAFOR:100004250911042453140825971645</t>
  </si>
  <si>
    <t>2025-09-11T04:25:04.331Z</t>
  </si>
  <si>
    <t>QuSjbFv7RIg1_iUytcv3F</t>
  </si>
  <si>
    <t>000010250903134621111286529542</t>
  </si>
  <si>
    <t>NIBSS:9011693755:NKEM LILIAN JEGBEFUME:REF53163649103 BO NKEM LILIAN JEGBEFUME IFO CBITE:000010250903134621111286529542</t>
  </si>
  <si>
    <t>2025-09-03T13:47:09.778Z</t>
  </si>
  <si>
    <t>TRN-I0DF8C1HGIJ20JIK26A543A06IJ2CBC8</t>
  </si>
  <si>
    <t>2025-09-03T13:35:08.902Z</t>
  </si>
  <si>
    <t>TRN-wP9g8NkAu0pamiqGzPaHa</t>
  </si>
  <si>
    <t>2511241357469555393</t>
  </si>
  <si>
    <t xml:space="preserve">Christabel store </t>
  </si>
  <si>
    <t>2025-11-24T12:57:36.591Z</t>
  </si>
  <si>
    <t>TRN-H1G11E034BJ7E19IE926EFCH9HAH4BIK</t>
  </si>
  <si>
    <t>2025-11-24T12:51:09.324Z</t>
  </si>
  <si>
    <t>gbNZsygw_cz6Vd6AK_3-j</t>
  </si>
  <si>
    <t>100004250923154009141654012862</t>
  </si>
  <si>
    <t>NIBSS:9013148776:JELILAT OMOWUNMI OLADAPO:Transfer from JELILAT OMOWUNMI OLADAPO:100004250923154009141654012862</t>
  </si>
  <si>
    <t>2025-09-23T15:41:08.891Z</t>
  </si>
  <si>
    <t>TRN-6JBAHCDD1B060B59IFF066B2E5209KAE</t>
  </si>
  <si>
    <t>2025-09-23T15:36:25.496Z</t>
  </si>
  <si>
    <t>TRN-26IF1A5FGKHKCFIIC86JFI62JC227K18</t>
  </si>
  <si>
    <t>Dee Topstore</t>
  </si>
  <si>
    <t>2025-11-01T01:03:22.465Z</t>
  </si>
  <si>
    <t>TRN-HDF5HE4AD7G1K060FGH1A7CIA5KHE2C2</t>
  </si>
  <si>
    <t>2025-10-08T13:30:36.208Z</t>
  </si>
  <si>
    <t>TRN-JEH15I9DAA08BKB845GJKJGFHK63EB97</t>
  </si>
  <si>
    <t>2025-10-08T13:27:36.940Z</t>
  </si>
  <si>
    <t>TRN-A8668HDDB3ADHIJGE7H1606911IE103K</t>
  </si>
  <si>
    <t>2025-10-08T13:27:36.936Z</t>
  </si>
  <si>
    <t>S4OcshiW2DhUxuHs0XZ6g</t>
  </si>
  <si>
    <t>2025-10-04T16:39:52.783Z</t>
  </si>
  <si>
    <t>bjXW350vu9hHdZHvEwcnb</t>
  </si>
  <si>
    <t>2025-10-04T13:52:26.104Z</t>
  </si>
  <si>
    <t>yVfUtJEz-etx5IBVlLJxm</t>
  </si>
  <si>
    <t>2025-10-02T15:15:11.425Z</t>
  </si>
  <si>
    <t>TRN-874E684EHD408A4BF34EIB1B9261A8I9</t>
  </si>
  <si>
    <t>2025-10-02T15:08:59.103Z</t>
  </si>
  <si>
    <t>TRN-054IGJ9853G85AE2HBH2FAAHC263F8BH</t>
  </si>
  <si>
    <t>2025-10-01T01:03:27.980Z</t>
  </si>
  <si>
    <t>TRN-K9CHICFAJ850FE756D9J6FJF347A7GAF</t>
  </si>
  <si>
    <t>2025-09-24T09:48:14.662Z</t>
  </si>
  <si>
    <t>TRN-FBG8K5FEK1C4F698A5B19HDA498IG0DF</t>
  </si>
  <si>
    <t>2025-09-24T09:46:34.345Z</t>
  </si>
  <si>
    <t>TRN-A2CH6IGG7D14BKB42KF6HE803J6DDFG2</t>
  </si>
  <si>
    <t>2025-09-24T09:46:34.342Z</t>
  </si>
  <si>
    <t>wOekzXBb4nS4TJc-0EkUa</t>
  </si>
  <si>
    <t>100033250923140803722828265273</t>
  </si>
  <si>
    <t>payment-link</t>
  </si>
  <si>
    <t>NIBSS:9015880176:SAMSON BOLARINWA AZEEZ:SAMSON BOLARINWA AZEEZ 7063219092:100033250923140803722828265273</t>
  </si>
  <si>
    <t>592.5784312500001</t>
  </si>
  <si>
    <t>41.342681250000005</t>
  </si>
  <si>
    <t>2025-09-23T14:08:13.781Z</t>
  </si>
  <si>
    <t>TRN-D25I5B2K8A07G310DDC79J640I0J4782</t>
  </si>
  <si>
    <t>2025-09-18T13:42:23.515Z</t>
  </si>
  <si>
    <t>TST-02/21/2026_2143</t>
  </si>
  <si>
    <t>RAYMOND VENTURES</t>
  </si>
  <si>
    <t>2026-02-21T01:00:09.211Z</t>
  </si>
  <si>
    <t>eytYBJaoXmmm9U2-U4HRy</t>
  </si>
  <si>
    <t>000017260220091641210273291281</t>
  </si>
  <si>
    <t>NIBSS:9017243698:MABINUORI ELIZABETH HODONU:ALAT NIP TRANSFER TO CBI-TECH - RAYMOND RAYMOND  VENTURES FROM MABINUO:000017260220091641210273291281</t>
  </si>
  <si>
    <t>2026-02-20T08:17:06.725Z</t>
  </si>
  <si>
    <t>TST-02/20/2026_2143</t>
  </si>
  <si>
    <t>2026-02-20T01:00:09.688Z</t>
  </si>
  <si>
    <t>sGwIDea-C4BBnC_xzGnUs</t>
  </si>
  <si>
    <t>100004260219100622152728376233</t>
  </si>
  <si>
    <t>NIBSS:9017243698:OLATUNDE OMOWAYE:Transfer from OLATUNDE OMOWAYE:100004260219100622152728376233</t>
  </si>
  <si>
    <t>2026-02-19T10:07:14.673Z</t>
  </si>
  <si>
    <t>TRN-hDkc4IG_KZnOug-7GaCS2</t>
  </si>
  <si>
    <t>2602182248028995273</t>
  </si>
  <si>
    <t>2026-02-18T21:47:52.871Z</t>
  </si>
  <si>
    <t>TST-02/18/2026_2143</t>
  </si>
  <si>
    <t>2026-02-18T01:00:07.866Z</t>
  </si>
  <si>
    <t>io7mWgM1p02hTo2sbaYdA</t>
  </si>
  <si>
    <t>100004260217221617152630143737</t>
  </si>
  <si>
    <t>NIBSS:9017243698:ISRAEL OKANLAWON AVOSEH:Transfer from Israel Okanlawon Avoseh:100004260217221617152630143737</t>
  </si>
  <si>
    <t>2026-02-17T22:17:13.488Z</t>
  </si>
  <si>
    <t>TST-02/10/2026_2143</t>
  </si>
  <si>
    <t>2026-02-10T01:00:07.141Z</t>
  </si>
  <si>
    <t>c4MBnfWHzGXg1pr_uK-fd</t>
  </si>
  <si>
    <t>100004260209204535151974602005</t>
  </si>
  <si>
    <t>NIBSS:9017243698:ISRAEL OKANLAWON AVOSEH:Transfer from Israel Okanlawon Avoseh:100004260209204535151974602005</t>
  </si>
  <si>
    <t>2026-02-09T20:46:03.306Z</t>
  </si>
  <si>
    <t>9BC5jV5pTBcL-UC_BesxR</t>
  </si>
  <si>
    <t>100004260209202721151972144405</t>
  </si>
  <si>
    <t>NIBSS:9017243698:ISRAEL OKANLAWON AVOSEH:Transfer from Israel Okanlawon Avoseh:100004260209202721151972144405</t>
  </si>
  <si>
    <t>2026-02-09T20:28:10.395Z</t>
  </si>
  <si>
    <t>TRN--ETFN4KVnybLVOCjF9GoG</t>
  </si>
  <si>
    <t>2512111336264199403</t>
  </si>
  <si>
    <t>2025-12-11T12:36:14.969Z</t>
  </si>
  <si>
    <t>TST-12/11/2025_2143</t>
  </si>
  <si>
    <t>2025-12-11T01:00:07.992Z</t>
  </si>
  <si>
    <t>Oagr60mk3f76qqSFuOq1f</t>
  </si>
  <si>
    <t>2025-12-10T05:59:18.150Z</t>
  </si>
  <si>
    <t>TST-12/10/2025_2143</t>
  </si>
  <si>
    <t>2025-12-10T01:00:07.757Z</t>
  </si>
  <si>
    <t>HRg91TyE6WphaR_S9LuG4</t>
  </si>
  <si>
    <t>2025-12-09T13:05:42.772Z</t>
  </si>
  <si>
    <t>TRN-0FRYqOKGP1fSAgGmk1crM</t>
  </si>
  <si>
    <t>2512041730143471233</t>
  </si>
  <si>
    <t>2025-12-04T16:30:03.067Z</t>
  </si>
  <si>
    <t>TST-12/04/2025_2143</t>
  </si>
  <si>
    <t>2025-12-04T01:00:14.181Z</t>
  </si>
  <si>
    <t>_5IsgDH9P94cTlUOMDSGh</t>
  </si>
  <si>
    <t>2025-12-03T19:40:37.150Z</t>
  </si>
  <si>
    <t>TST-12/03/2025_2143</t>
  </si>
  <si>
    <t>2025-12-03T01:00:08.956Z</t>
  </si>
  <si>
    <t>cubIvo7oC_7a0G223E8FG</t>
  </si>
  <si>
    <t>2025-12-02T16:25:50.161Z</t>
  </si>
  <si>
    <t>TRN-r-K3x7WoV9xwmN9aUU5KP</t>
  </si>
  <si>
    <t>2512020940165977103</t>
  </si>
  <si>
    <t>2025-12-02T08:40:05.232Z</t>
  </si>
  <si>
    <t>TST-12/02/2025_2143</t>
  </si>
  <si>
    <t>2025-12-02T01:00:08.970Z</t>
  </si>
  <si>
    <t>XKqdiy1XQQhVMYQTpoQV1</t>
  </si>
  <si>
    <t>2025-12-01T18:31:26.693Z</t>
  </si>
  <si>
    <t>JeC6BLKjv_NTRDvV1EzcP</t>
  </si>
  <si>
    <t>2025-12-01T12:25:08.416Z</t>
  </si>
  <si>
    <t>TRN-YdcmcjN72CxfhJ_NmiToJ</t>
  </si>
  <si>
    <t>2511301202301843043</t>
  </si>
  <si>
    <t>2025-11-30T11:02:20.259Z</t>
  </si>
  <si>
    <t>TST-11/28/2025_2143</t>
  </si>
  <si>
    <t>2025-11-28T01:00:05.293Z</t>
  </si>
  <si>
    <t>Wiru5ppOhouZxRS9H_hul</t>
  </si>
  <si>
    <t>2025-11-27T13:25:15.193Z</t>
  </si>
  <si>
    <t>K9O31n7Dt46pdC7jcSjwn</t>
  </si>
  <si>
    <t>2025-11-27T13:23:19.097Z</t>
  </si>
  <si>
    <t>TST-11/27/2025_2143</t>
  </si>
  <si>
    <t>2025-11-27T01:00:05.535Z</t>
  </si>
  <si>
    <t>TRw35TBWhaIKFGjKm3V-b</t>
  </si>
  <si>
    <t>2025-11-26T22:11:04.678Z</t>
  </si>
  <si>
    <t>v2JfS43WGknQQs2fwfLt5</t>
  </si>
  <si>
    <t>2025-11-26T22:09:51.683Z</t>
  </si>
  <si>
    <t>MWbw4OgkUoVpUPHNEuK2a</t>
  </si>
  <si>
    <t>2025-11-26T22:05:57.544Z</t>
  </si>
  <si>
    <t>rWflyBp3ygcC8KdeE-Qu_</t>
  </si>
  <si>
    <t>2025-11-26T22:03:48.746Z</t>
  </si>
  <si>
    <t>E0g61k1j4TDKM_W-1JOxc</t>
  </si>
  <si>
    <t>2025-11-26T21:53:10.759Z</t>
  </si>
  <si>
    <t>NzEnwsLlrgnD1TaR_jkCM</t>
  </si>
  <si>
    <t>2025-11-26T21:45:05.716Z</t>
  </si>
  <si>
    <t>TRN-GRMBmhA9fpvn0LokZ-gIE</t>
  </si>
  <si>
    <t>2511260843477049453</t>
  </si>
  <si>
    <t>2025-11-26T07:43:37.565Z</t>
  </si>
  <si>
    <t>TST-11/26/2025_2143</t>
  </si>
  <si>
    <t>2025-11-26T01:00:04.059Z</t>
  </si>
  <si>
    <t>V4oL64G9Bz30VpxBmoAU9</t>
  </si>
  <si>
    <t>2025-11-25T08:46:34.124Z</t>
  </si>
  <si>
    <t>TST-11/25/2025_2143</t>
  </si>
  <si>
    <t>2025-11-25T01:00:04.040Z</t>
  </si>
  <si>
    <t>c2yOjv9G-a9H9hKoXMmuO</t>
  </si>
  <si>
    <t>2025-11-24T16:06:22.054Z</t>
  </si>
  <si>
    <t>F5rSM0Ie64FjTwuNCvsZr</t>
  </si>
  <si>
    <t>2025-11-24T15:53:08.647Z</t>
  </si>
  <si>
    <t>IZkk8dMeX_oAjpz0X8rVK</t>
  </si>
  <si>
    <t>2025-11-24T15:50:42.590Z</t>
  </si>
  <si>
    <t>DYYdMs2ZBPbx2t7c9zuAs</t>
  </si>
  <si>
    <t>2025-11-24T15:50:01.538Z</t>
  </si>
  <si>
    <t>DejCQbYQmrctLrbpqArow</t>
  </si>
  <si>
    <t>2025-11-24T12:48:06.767Z</t>
  </si>
  <si>
    <t>TST-11/24/2025_2143</t>
  </si>
  <si>
    <t>2025-11-24T01:00:05.458Z</t>
  </si>
  <si>
    <t>gKspvqDtk8PcGgRXlfVtb</t>
  </si>
  <si>
    <t>2025-11-23T16:44:05.370Z</t>
  </si>
  <si>
    <t>CDMdF_yOQhkOpNZvHnWuP</t>
  </si>
  <si>
    <t>2025-11-23T16:43:14.409Z</t>
  </si>
  <si>
    <t>KzxIslQDivApXEBRe5hl6</t>
  </si>
  <si>
    <t>2025-11-23T15:47:36.687Z</t>
  </si>
  <si>
    <t>TRN-MvYBHIqTSCDT-v8kbtDY_</t>
  </si>
  <si>
    <t>2511222204578102543</t>
  </si>
  <si>
    <t>2025-11-22T21:04:45.737Z</t>
  </si>
  <si>
    <t>TST-11/22/2025_2143</t>
  </si>
  <si>
    <t>2025-11-22T01:00:04.067Z</t>
  </si>
  <si>
    <t>QVelmuQ9z53W1U7O-a1-A</t>
  </si>
  <si>
    <t>2025-11-21T13:20:47.319Z</t>
  </si>
  <si>
    <t>OSVFGtPqDayO7KQBas-a3</t>
  </si>
  <si>
    <t>2025-11-21T13:18:36.289Z</t>
  </si>
  <si>
    <t>ZZwWJJgU3iJU_wjbJ1yCi</t>
  </si>
  <si>
    <t>2025-11-21T11:58:47.876Z</t>
  </si>
  <si>
    <t>TRN-ChKZIXkpPfy9R4QDU44IM</t>
  </si>
  <si>
    <t>2511211102309854853</t>
  </si>
  <si>
    <t>2025-11-21T10:02:21.284Z</t>
  </si>
  <si>
    <t>iM40KX-cBHUZqx0WcurrS</t>
  </si>
  <si>
    <t>2025-11-21T06:53:26.601Z</t>
  </si>
  <si>
    <t>wWeKltBIJNVw6Sj0ukyzQ</t>
  </si>
  <si>
    <t>2025-11-21T06:44:20.681Z</t>
  </si>
  <si>
    <t>TST-11/21/2025_2143</t>
  </si>
  <si>
    <t>2025-11-21T01:00:04.041Z</t>
  </si>
  <si>
    <t>BSTTtzNaIm4kjldKiKc6W</t>
  </si>
  <si>
    <t>2025-11-20T21:21:07.125Z</t>
  </si>
  <si>
    <t>TST-11/20/2025_2143</t>
  </si>
  <si>
    <t>2025-11-20T01:00:05.490Z</t>
  </si>
  <si>
    <t>2025-11-19T19:45:34.368Z</t>
  </si>
  <si>
    <t>TST-11/15/2025_2143</t>
  </si>
  <si>
    <t>2025-11-15T01:00:04.928Z</t>
  </si>
  <si>
    <t>c0B_axm16Za0JXGVDhFmc</t>
  </si>
  <si>
    <t>2025-11-14T10:43:38.075Z</t>
  </si>
  <si>
    <t>ISG8xqa-hzmkt-Xa5GkCE</t>
  </si>
  <si>
    <t>2025-11-14T10:18:10.676Z</t>
  </si>
  <si>
    <t>TST-11/14/2025_2143</t>
  </si>
  <si>
    <t>2025-11-14T01:00:04.999Z</t>
  </si>
  <si>
    <t>toeFaMcEjbvj9dSpWbCVx</t>
  </si>
  <si>
    <t>2025-11-13T06:55:02.019Z</t>
  </si>
  <si>
    <t>TRN-ywMdMMYcLkxFq8WuompfE</t>
  </si>
  <si>
    <t>2511121224411349963</t>
  </si>
  <si>
    <t>2025-11-12T11:24:31.399Z</t>
  </si>
  <si>
    <t>TST-11/12/2025_2143</t>
  </si>
  <si>
    <t>2025-11-12T01:00:05.144Z</t>
  </si>
  <si>
    <t>K1b95qqPbhSb1oR-ge1Ix</t>
  </si>
  <si>
    <t>2025-11-11T16:30:48.943Z</t>
  </si>
  <si>
    <t>EbR_0uEO06VtNAq3cePiv</t>
  </si>
  <si>
    <t>100004251111145557145081304159</t>
  </si>
  <si>
    <t>NIBSS:9017243698:FORGIVE VICTORIA MUSILIU:Transfer from FORGIVE VICTORIA MUSILIU:100004251111145557145081304159</t>
  </si>
  <si>
    <t>2025-11-11T14:57:05.316Z</t>
  </si>
  <si>
    <t>SqXrpMtTJJ6D-FC0TAoKc</t>
  </si>
  <si>
    <t>2025-11-11T13:34:38.336Z</t>
  </si>
  <si>
    <t>Uu_H3na94eGB-5RpfrRl0</t>
  </si>
  <si>
    <t>2025-11-11T11:27:22.857Z</t>
  </si>
  <si>
    <t>M5_jN7bZTvgReArMez2aZ</t>
  </si>
  <si>
    <t>2025-11-11T11:24:59.174Z</t>
  </si>
  <si>
    <t>KUPg97nGl1_eAGEkVtOdr</t>
  </si>
  <si>
    <t>100004251111110821145064367897</t>
  </si>
  <si>
    <t>NIBSS:9017243698:OLUSHOLA VERONICA OSHOTA:Transfer from OLUSHOLA VERONICA OSHOTA:100004251111110821145064367897</t>
  </si>
  <si>
    <t>2025-11-11T11:09:09.834Z</t>
  </si>
  <si>
    <t>bU07Umx_QPiwazUQ0u2Ha</t>
  </si>
  <si>
    <t>2025-11-11T10:33:21.419Z</t>
  </si>
  <si>
    <t>lvbCcpPsnO9JLV6Xf-xyy</t>
  </si>
  <si>
    <t>100004251111103228145061250456</t>
  </si>
  <si>
    <t>NIBSS:9017243698:OLAYINKA VICTORIA AJADI:Transfer from OLAYINKA VICTORIA AJADI:100004251111103228145061250456</t>
  </si>
  <si>
    <t>2025-11-11T10:33:07.709Z</t>
  </si>
  <si>
    <t>s-UPxZXp-uIY9c6jgIJpf</t>
  </si>
  <si>
    <t>100004251111091732145055364878</t>
  </si>
  <si>
    <t>NIBSS:9017243698:COMFORT ADENIKE OYENUGA:Transfer from COMFORT ADENIKE OYENUGA:100004251111091732145055364878</t>
  </si>
  <si>
    <t>2025-11-11T09:22:08.765Z</t>
  </si>
  <si>
    <t>iY1wEcEZl9Mfr3QFQLCdL</t>
  </si>
  <si>
    <t>2025-11-11T08:55:58.949Z</t>
  </si>
  <si>
    <t>TST-11/11/2025_2143</t>
  </si>
  <si>
    <t>2025-11-11T01:00:04.450Z</t>
  </si>
  <si>
    <t>_ottMo6DffaT55HwTFpKY</t>
  </si>
  <si>
    <t>100004251110153304145011116315</t>
  </si>
  <si>
    <t>NIBSS:9017243698:FORGIVE VICTORIA MUSILIU:Transfer from FORGIVE VICTORIA MUSILIU:100004251110153304145011116315</t>
  </si>
  <si>
    <t>2025-11-10T15:34:06.380Z</t>
  </si>
  <si>
    <t>9S152BfdaKNCstu_3OYbK</t>
  </si>
  <si>
    <t>2025-11-10T13:05:01.470Z</t>
  </si>
  <si>
    <t>Yzdtf3zZ81DJ99ukSmRvv</t>
  </si>
  <si>
    <t>2025-11-10T10:48:51.384Z</t>
  </si>
  <si>
    <t>HSaQp8P6PZZQM46j9f-rK</t>
  </si>
  <si>
    <t>2025-11-10T09:52:40.204Z</t>
  </si>
  <si>
    <t>TRN-HtROmO0MLDxGhfgLNAuZa</t>
  </si>
  <si>
    <t>2511041848466494853</t>
  </si>
  <si>
    <t>2025-11-04T17:48:36.161Z</t>
  </si>
  <si>
    <t>TST-11/04/2025_2143</t>
  </si>
  <si>
    <t>2025-11-04T01:00:02.511Z</t>
  </si>
  <si>
    <t>2DNyTTjKy1tkmsfs5cTdm</t>
  </si>
  <si>
    <t>2025-11-03T19:00:02.360Z</t>
  </si>
  <si>
    <t>Qvri2aatgpkFep3qf4Bn6</t>
  </si>
  <si>
    <t>2025-11-03T18:35:40.339Z</t>
  </si>
  <si>
    <t>TRN-ymaLnFah44MbmHHi75TeF</t>
  </si>
  <si>
    <t>2511030729061477073</t>
  </si>
  <si>
    <t>2025-11-03T06:28:56.948Z</t>
  </si>
  <si>
    <t>TST-11/03/2025_2143</t>
  </si>
  <si>
    <t>BFS Settlement 11/2/2025</t>
  </si>
  <si>
    <t>2025-11-03T01:00:02.410Z</t>
  </si>
  <si>
    <t>A6egAyaIcpvFkI6t_wCBd</t>
  </si>
  <si>
    <t>2025-11-02T17:24:37.801Z</t>
  </si>
  <si>
    <t>i3cHI36XBkApqiGCWtv2u</t>
  </si>
  <si>
    <t>2025-11-02T16:13:23.391Z</t>
  </si>
  <si>
    <t>zKO4Mw2enDIpYp9Goh6Oz</t>
  </si>
  <si>
    <t>2025-11-02T16:12:56.051Z</t>
  </si>
  <si>
    <t>9dEH6_3UT0dJEMvpYNapX</t>
  </si>
  <si>
    <t>2025-11-02T16:12:17.934Z</t>
  </si>
  <si>
    <t>QcJkTqSKQlVvlHbqN6_MY</t>
  </si>
  <si>
    <t>2025-11-02T16:11:32.760Z</t>
  </si>
  <si>
    <t>9RVTUa__kWdMZLuMw1ZvV</t>
  </si>
  <si>
    <t>2025-11-02T16:11:00.573Z</t>
  </si>
  <si>
    <t>TST-11/02/2025_2143</t>
  </si>
  <si>
    <t>2025-11-02T01:00:03.202Z</t>
  </si>
  <si>
    <t>TRN-0XjN5eEdjrT-wp6kerqZH</t>
  </si>
  <si>
    <t>2511011235473537973</t>
  </si>
  <si>
    <t>2025-11-01T11:35:37.970Z</t>
  </si>
  <si>
    <t>6ixa_DeiM-B0N8aerg0K_</t>
  </si>
  <si>
    <t>100004251101111158144329959840</t>
  </si>
  <si>
    <t>NIBSS:9017243698:ISRAEL OKANLAWON AVOSEH:Transfer from Israel Okanlawon Avoseh:100004251101111158144329959840</t>
  </si>
  <si>
    <t>2025-11-01T11:12:12.725Z</t>
  </si>
  <si>
    <t>LY-8zWhYFBtghrAFvSCML</t>
  </si>
  <si>
    <t>2025-11-01T08:25:20.380Z</t>
  </si>
  <si>
    <t>TRN-CI2D645B117D084K66CK3JDC8632CB68</t>
  </si>
  <si>
    <t>2025-11-01T01:03:23.877Z</t>
  </si>
  <si>
    <t>TST-11/01/2025_2143</t>
  </si>
  <si>
    <t>BFS Settlement 10/31/2025</t>
  </si>
  <si>
    <t>2025-11-01T01:00:03.081Z</t>
  </si>
  <si>
    <t>AHveY-PYG0FxmEq3l_BD2</t>
  </si>
  <si>
    <t>2025-10-31T14:38:35.564Z</t>
  </si>
  <si>
    <t>PFaj3Zzd9xcqp3RyhbJFf</t>
  </si>
  <si>
    <t>100004251031121325144255471332</t>
  </si>
  <si>
    <t>NIBSS:9017243698:PETER JIMOH TAIWO:Transfer from PETER JIMOH TAIWO:100004251031121325144255471332</t>
  </si>
  <si>
    <t>2025-10-31T12:15:44.431Z</t>
  </si>
  <si>
    <t>OrCYfl3HWib1VncCi0b5i</t>
  </si>
  <si>
    <t>100004251031120913144256435458</t>
  </si>
  <si>
    <t>NIBSS:9017243698:PETER JIMOH TAIWO:Transfer from PETER JIMOH TAIWO:100004251031120913144256435458</t>
  </si>
  <si>
    <t>2025-10-31T12:10:10.427Z</t>
  </si>
  <si>
    <t>7kv3KL9c4YL92_7E_yJGq</t>
  </si>
  <si>
    <t>2025-10-31T11:22:32.961Z</t>
  </si>
  <si>
    <t>jq00Rc5sYqKkxedJ6FHOc</t>
  </si>
  <si>
    <t>120004251031104811689827986596</t>
  </si>
  <si>
    <t>NIBSS:9017243698:CHRISTIANA SUNSEME:Smartcash Wallet to External Bank Transfer:120004251031104811689827986596</t>
  </si>
  <si>
    <t>2025-10-31T10:49:18.845Z</t>
  </si>
  <si>
    <t>PkVOsyJSxdw0NOwyz5GvL</t>
  </si>
  <si>
    <t>2025-10-31T10:29:55.809Z</t>
  </si>
  <si>
    <t>x2PsqELDJgx0pt9hXqK6V</t>
  </si>
  <si>
    <t>2025-10-31T09:29:26.854Z</t>
  </si>
  <si>
    <t>GOWKF71IyHwap66AMyTsu</t>
  </si>
  <si>
    <t>2025-10-31T09:21:27.189Z</t>
  </si>
  <si>
    <t>gkFFmrwdkKiz--vHRXQR5</t>
  </si>
  <si>
    <t>2025-10-31T06:33:02.455Z</t>
  </si>
  <si>
    <t>MNbB4v-eOQw6qjstu_oBk</t>
  </si>
  <si>
    <t>2025-10-31T06:32:22.946Z</t>
  </si>
  <si>
    <t>TST-10/31/2025_2143</t>
  </si>
  <si>
    <t>2025-10-31T01:00:03.790Z</t>
  </si>
  <si>
    <t>JgYw386MBJ9YPHEWMf3em</t>
  </si>
  <si>
    <t>2025-10-30T14:16:08.592Z</t>
  </si>
  <si>
    <t>9hh79U6FExO5WssOPv6fO</t>
  </si>
  <si>
    <t>2025-10-30T13:05:24.586Z</t>
  </si>
  <si>
    <t>aFUcC5kZ-7utli2SYJdzo</t>
  </si>
  <si>
    <t>2025-10-30T12:59:16.659Z</t>
  </si>
  <si>
    <t>ScN732HDbeI9s1DQ9KSDG</t>
  </si>
  <si>
    <t>2025-10-30T12:57:45.907Z</t>
  </si>
  <si>
    <t>JrVPijOex_3drPu7WdVDB</t>
  </si>
  <si>
    <t>2025-10-30T12:57:15.144Z</t>
  </si>
  <si>
    <t>6HBF-aqv-o0cM95FYCEqQ</t>
  </si>
  <si>
    <t>2025-10-30T12:21:58.283Z</t>
  </si>
  <si>
    <t>Xqiz1oQ1uOKFOANNZGnlj</t>
  </si>
  <si>
    <t>120004251030121410694390345747</t>
  </si>
  <si>
    <t>NIBSS:9017243698:CHRISTIANA SUNSEME:Smartcash Wallet to External Bank Transfer:120004251030121410694390345747</t>
  </si>
  <si>
    <t>2025-10-30T12:15:56.804Z</t>
  </si>
  <si>
    <t>1wV6Skbqgy5oFaps7BuqN</t>
  </si>
  <si>
    <t>2025-10-30T10:30:25.750Z</t>
  </si>
  <si>
    <t>8R_O6E6OaMb2UUe5HOlgY</t>
  </si>
  <si>
    <t>2025-10-30T09:42:32.702Z</t>
  </si>
  <si>
    <t>TRN-UyPQ02o77CLmeUc3CMOsE</t>
  </si>
  <si>
    <t>2510300836436733593</t>
  </si>
  <si>
    <t>2025-10-30T07:36:32.036Z</t>
  </si>
  <si>
    <t>TST-10/30/2025_2143</t>
  </si>
  <si>
    <t>BFS Settlement 10/29/2025</t>
  </si>
  <si>
    <t>2025-10-30T01:00:03.381Z</t>
  </si>
  <si>
    <t>2025-10-29T20:48:45.321Z</t>
  </si>
  <si>
    <t>iAO3hW8wcZs6syk5jmKgW</t>
  </si>
  <si>
    <t>2025-10-29T18:46:37.344Z</t>
  </si>
  <si>
    <t>di9aPvnCzWKLNVptyDyr3</t>
  </si>
  <si>
    <t>2025-10-29T17:34:56.148Z</t>
  </si>
  <si>
    <t>9ls1mIz-IyuB7RFfutN3X</t>
  </si>
  <si>
    <t>100004251029144946144121098239</t>
  </si>
  <si>
    <t>NIBSS:9017243698:FORGIVE VICTORIA MUSILIU:Transfer from FORGIVE VICTORIA MUSILIU:100004251029144946144121098239</t>
  </si>
  <si>
    <t>2025-10-29T14:55:13.404Z</t>
  </si>
  <si>
    <t>WN2-WEx9xVDPM2MvVvg55</t>
  </si>
  <si>
    <t>2025-10-29T13:10:48.338Z</t>
  </si>
  <si>
    <t>Akkes78BaF1Uj5sUnHAz5</t>
  </si>
  <si>
    <t>2025-10-29T13:04:59.780Z</t>
  </si>
  <si>
    <t>56i0K0ykiTD-WHUxosfnc</t>
  </si>
  <si>
    <t>2025-10-29T13:04:22.776Z</t>
  </si>
  <si>
    <t>XrmlLsRHE9c0Rzu20kw1-</t>
  </si>
  <si>
    <t>2025-10-29T12:57:38.996Z</t>
  </si>
  <si>
    <t>sjOxBpLnZ1JfZqn1oaZhB</t>
  </si>
  <si>
    <t>2025-10-29T11:59:50.460Z</t>
  </si>
  <si>
    <t>4X4DF214dvNFDaK0tTHtV</t>
  </si>
  <si>
    <t>2025-10-29T10:46:39.629Z</t>
  </si>
  <si>
    <t>_8NEFgi3YSQZxMOLyUgJp</t>
  </si>
  <si>
    <t>2025-10-29T10:45:19.468Z</t>
  </si>
  <si>
    <t>d77dA_4cjBz7LlTO9bmMM</t>
  </si>
  <si>
    <t>2025-10-29T10:14:04.482Z</t>
  </si>
  <si>
    <t>cgYIjejhApyR0IRXDMyTB</t>
  </si>
  <si>
    <t>2025-10-29T10:12:41.400Z</t>
  </si>
  <si>
    <t>I-z2sKicRdlzCLbmrDuf6</t>
  </si>
  <si>
    <t>2025-10-29T08:31:08.901Z</t>
  </si>
  <si>
    <t>IeQGmqmX1ECse_F9bbKth</t>
  </si>
  <si>
    <t>100004251029080311144091091592</t>
  </si>
  <si>
    <t>NIBSS:9017243698:DAMILOLA NUGBOYON AJANESON:Transfer from DAMILOLA NUGBOYON AJANESON:100004251029080311144091091592</t>
  </si>
  <si>
    <t>2025-10-29T08:04:15.074Z</t>
  </si>
  <si>
    <t>TRN-G2CNBQxNFlkRZIJYVLWte</t>
  </si>
  <si>
    <t>2510290656015872703</t>
  </si>
  <si>
    <t>2025-10-29T05:55:53.080Z</t>
  </si>
  <si>
    <t>TST-10/29/2025_2143</t>
  </si>
  <si>
    <t>2025-10-29T01:00:03.352Z</t>
  </si>
  <si>
    <t>Ls6yHKndDDMEhu6pqAt8t</t>
  </si>
  <si>
    <t>100004251028203031144078232516</t>
  </si>
  <si>
    <t>NIBSS:9017243698:ADEBAYO BAMIDELE OYENUGA:Transfer from ADEBAYO BAMIDELE OYENUGA:100004251028203031144078232516</t>
  </si>
  <si>
    <t>2025-10-28T20:31:01.996Z</t>
  </si>
  <si>
    <t>7xTrT-l7IYAkLeAi9HF6j</t>
  </si>
  <si>
    <t>2025-10-28T17:35:23.011Z</t>
  </si>
  <si>
    <t>q2vFDGGcSgq05EEvhr3en</t>
  </si>
  <si>
    <t>2025-10-28T17:34:09.619Z</t>
  </si>
  <si>
    <t>0VjCx7hJ2i5R9KEqzXxNm</t>
  </si>
  <si>
    <t>2025-10-28T11:16:54.554Z</t>
  </si>
  <si>
    <t>h0cV436mObDNA6pNYUkY2</t>
  </si>
  <si>
    <t>2025-10-28T11:15:47.902Z</t>
  </si>
  <si>
    <t>3pknmQEMXMOHGorn7fWvZ</t>
  </si>
  <si>
    <t>2025-10-28T11:12:52.280Z</t>
  </si>
  <si>
    <t>2025-10-28T10:39:13.903Z</t>
  </si>
  <si>
    <t>gKpQeqM1Rjd_2atAr9eeM</t>
  </si>
  <si>
    <t>100004251028102239144031696712</t>
  </si>
  <si>
    <t>NIBSS:9017243698:FELICIA AYOMIDE OJO:Miscellaneous:100004251028102239144031696712</t>
  </si>
  <si>
    <t>2025-10-28T10:23:10.767Z</t>
  </si>
  <si>
    <t>Jn7e6tb3dSFsW02MKHYkF</t>
  </si>
  <si>
    <t>2025-10-28T09:47:08.000Z</t>
  </si>
  <si>
    <t>j_8iDsmD-VfB0OrxTfn11</t>
  </si>
  <si>
    <t>2025-10-28T09:10:24.371Z</t>
  </si>
  <si>
    <t>TRN-65JsUlW_QQ5t_N1rrzpDZ</t>
  </si>
  <si>
    <t>2510280655074912253</t>
  </si>
  <si>
    <t>2025-10-28T05:54:56.023Z</t>
  </si>
  <si>
    <t>A0XiIQlU6T9_V0HXRxSmQ</t>
  </si>
  <si>
    <t>2025-10-28T05:49:35.567Z</t>
  </si>
  <si>
    <t>TST-10/28/2025_2143</t>
  </si>
  <si>
    <t>2025-10-28T01:00:03.240Z</t>
  </si>
  <si>
    <t>lLs5oeu5pa_a-5ddxlSPA</t>
  </si>
  <si>
    <t>2025-10-27T18:20:22.181Z</t>
  </si>
  <si>
    <t>6GBM7qJttADPw4n65BQqU</t>
  </si>
  <si>
    <t>100004251027141909143977919833</t>
  </si>
  <si>
    <t>NIBSS:9017243698:FORGIVE VICTORIA MUSILIU:Transfer from FORGIVE VICTORIA MUSILIU:100004251027141909143977919833</t>
  </si>
  <si>
    <t>2025-10-27T14:20:22.265Z</t>
  </si>
  <si>
    <t>BtdAKOlAKKI73PuxO9M0o</t>
  </si>
  <si>
    <t>2025-10-27T13:25:03.440Z</t>
  </si>
  <si>
    <t>Q_gURa9NpCZzuCrye-JvI</t>
  </si>
  <si>
    <t>2025-10-27T13:20:31.411Z</t>
  </si>
  <si>
    <t>qeCUx6RFuX0lwT2idzJ_-</t>
  </si>
  <si>
    <t>100004251027113400143967014357</t>
  </si>
  <si>
    <t>NIBSS:9017243698:PETER JIMOH TAIWO:Transfer from PETER JIMOH TAIWO:100004251027113400143967014357</t>
  </si>
  <si>
    <t>2025-10-27T11:36:07.603Z</t>
  </si>
  <si>
    <t>QEVypGFDAHssAfONl1sgX</t>
  </si>
  <si>
    <t>2025-10-27T11:28:46.805Z</t>
  </si>
  <si>
    <t>DT3RzPsuQkG13Gdgs4DZs</t>
  </si>
  <si>
    <t>2025-10-27T11:27:30.476Z</t>
  </si>
  <si>
    <t>iv2jgavrmiFBGepyc4u4J</t>
  </si>
  <si>
    <t>120004251027103342997362177188</t>
  </si>
  <si>
    <t>NIBSS:9017243698:CHRISTIANA SUNSEME:Smartcash Wallet to External Bank Transfer:120004251027103342997362177188</t>
  </si>
  <si>
    <t>2025-10-27T10:34:16.398Z</t>
  </si>
  <si>
    <t>Nqo5G6n0bX_qI1pXgIeDx</t>
  </si>
  <si>
    <t>2025-10-27T07:54:15.301Z</t>
  </si>
  <si>
    <t>CTJ59JsxqkWrebeBxKG7Q</t>
  </si>
  <si>
    <t>2025-10-27T06:27:47.041Z</t>
  </si>
  <si>
    <t>TST-10/27/2025_2143</t>
  </si>
  <si>
    <t>2025-10-27T01:00:01.843Z</t>
  </si>
  <si>
    <t>iJVtjlnssgMC2Va87CTtU</t>
  </si>
  <si>
    <t>2025-10-26T19:45:38.368Z</t>
  </si>
  <si>
    <t>k6JnlypzzGAi7xEKKzuwD</t>
  </si>
  <si>
    <t>2025-10-26T19:43:30.624Z</t>
  </si>
  <si>
    <t>S5S1EoWPMnbseHoTiR7T_</t>
  </si>
  <si>
    <t>2025-10-26T19:43:00.365Z</t>
  </si>
  <si>
    <t>cyn6dNVFkc_pBxJPmSkDt</t>
  </si>
  <si>
    <t>2025-10-26T19:03:04.291Z</t>
  </si>
  <si>
    <t>AlZ-O04fQ8qaXxi5FZJ3i</t>
  </si>
  <si>
    <t>2025-10-26T18:17:00.633Z</t>
  </si>
  <si>
    <t>Oub0LjHtTFTalOGBOfesL</t>
  </si>
  <si>
    <t>2025-10-26T07:31:19.994Z</t>
  </si>
  <si>
    <t>TRN-QHtmN6iMfEkz5jZgU6pIb</t>
  </si>
  <si>
    <t>2510251009556492913</t>
  </si>
  <si>
    <t>2025-10-25T09:09:46.495Z</t>
  </si>
  <si>
    <t>TST-10/25/2025_2143</t>
  </si>
  <si>
    <t>2025-10-25T01:00:04.102Z</t>
  </si>
  <si>
    <t>TRN-_OpIsbNrSw1dFeC1lbP25</t>
  </si>
  <si>
    <t>2510242141243803723</t>
  </si>
  <si>
    <t>2025-10-24T20:41:14.158Z</t>
  </si>
  <si>
    <t>RkgAAQzHCEWBLSkaaExiC</t>
  </si>
  <si>
    <t>2025-10-24T17:37:41.187Z</t>
  </si>
  <si>
    <t>ZOKCdOVEA9tr8VFQ7XJFW</t>
  </si>
  <si>
    <t>2025-10-24T17:36:34.609Z</t>
  </si>
  <si>
    <t>y-z211wkWTVfqCBbWk8po</t>
  </si>
  <si>
    <t>100004251024161354143786023709</t>
  </si>
  <si>
    <t>NIBSS:9017243698:FORGIVE VICTORIA MUSILIU:Transfer from FORGIVE VICTORIA MUSILIU:100004251024161354143786023709</t>
  </si>
  <si>
    <t>2025-10-24T16:15:52.024Z</t>
  </si>
  <si>
    <t>b31HO95COJcqo2btm3Lmm</t>
  </si>
  <si>
    <t>120004251024102011446492855353</t>
  </si>
  <si>
    <t>NIBSS:9017243698:CHRISTIANA SUNSEME:Smartcash Wallet to External Bank Transfer:120004251024102011446492855353</t>
  </si>
  <si>
    <t>2025-10-24T10:21:19.417Z</t>
  </si>
  <si>
    <t>TST-10/24/2025_2143</t>
  </si>
  <si>
    <t>2025-10-24T01:00:02.656Z</t>
  </si>
  <si>
    <t>JdKbvBkroO5u5l6WTIb7e</t>
  </si>
  <si>
    <t>100004251023142613143704004096</t>
  </si>
  <si>
    <t>NIBSS:9017243698:FORGIVE VICTORIA MUSILIU:Transfer from FORGIVE VICTORIA MUSILIU:100004251023142613143704004096</t>
  </si>
  <si>
    <t>2025-10-23T14:27:18.896Z</t>
  </si>
  <si>
    <t>gQE0E8PpN7b9UhBMJNj0a</t>
  </si>
  <si>
    <t>100004251023141508143703143825</t>
  </si>
  <si>
    <t>NIBSS:9017243698:PAUL SEWANU SALAKO:Transfer from PAUL SEWANU SALAKO:100004251023141508143703143825</t>
  </si>
  <si>
    <t>2025-10-23T14:16:13.121Z</t>
  </si>
  <si>
    <t>2YqG0TL2V7h87IHaj41CV</t>
  </si>
  <si>
    <t>100004251023130539143698127235</t>
  </si>
  <si>
    <t>NIBSS:9017243698:ADEBAYO BAMIDELE OYENUGA:Transfer from ADEBAYO BAMIDELE OYENUGA:100004251023130539143698127235</t>
  </si>
  <si>
    <t>2025-10-23T13:06:56.630Z</t>
  </si>
  <si>
    <t>1DZe7k9exYnwqBADpRdZL</t>
  </si>
  <si>
    <t>2025-10-23T11:15:15.375Z</t>
  </si>
  <si>
    <t>zxoJtwAwvTsb4QKclQzyD</t>
  </si>
  <si>
    <t>100004251023111204143690068431</t>
  </si>
  <si>
    <t>NIBSS:9017243698:SEWANU SAVIOUR ABRAHAM:Transfer from SEWANU SAVIOUR ABRAHAM:100004251023111204143690068431</t>
  </si>
  <si>
    <t>2025-10-23T11:13:35.056Z</t>
  </si>
  <si>
    <t>xe4rpjgrjacoDLRhPyOdb</t>
  </si>
  <si>
    <t>2025-10-23T10:33:09.475Z</t>
  </si>
  <si>
    <t>TST-10/23/2025_2143</t>
  </si>
  <si>
    <t>2025-10-23T01:00:03.101Z</t>
  </si>
  <si>
    <t>jChXbm9sSqG8EJbEeJGP4</t>
  </si>
  <si>
    <t>2025-10-22T19:47:27.383Z</t>
  </si>
  <si>
    <t>3a4G2emsxh5VvAQrGkZZo</t>
  </si>
  <si>
    <t>2025-10-22T19:00:53.345Z</t>
  </si>
  <si>
    <t>COTbXiZ8xMrSem-zSdI0e</t>
  </si>
  <si>
    <t>2025-10-22T19:00:16.692Z</t>
  </si>
  <si>
    <t>zG4Edb0fZmRYricnNYKR1</t>
  </si>
  <si>
    <t>2025-10-22T17:13:33.230Z</t>
  </si>
  <si>
    <t>uA1dMzkYyM26knHpBDhRm</t>
  </si>
  <si>
    <t>2025-10-22T06:48:51.352Z</t>
  </si>
  <si>
    <t>TST-10/22/2025_2143</t>
  </si>
  <si>
    <t>2025-10-22T01:00:04.024Z</t>
  </si>
  <si>
    <t>aG5rx0RgeQsR1cIUw7C7G</t>
  </si>
  <si>
    <t>120004251021131132769569809628</t>
  </si>
  <si>
    <t>NIBSS:9017243698:CHRISTIANA SUNSEME:Smartcash Wallet to External Bank Transfer:120004251021131132769569809628</t>
  </si>
  <si>
    <t>2025-10-21T13:12:06.423Z</t>
  </si>
  <si>
    <t>7KqpZDwlPFLBr-8zlVz2d</t>
  </si>
  <si>
    <t>000004251021140012014329971478</t>
  </si>
  <si>
    <t>MOB/UTO/CBI TECH   RAY/tnx/33535049612</t>
  </si>
  <si>
    <t>2025-10-21T13:01:24.776Z</t>
  </si>
  <si>
    <t>TRN-vaFurcD1WeAFdYbFd3YX_</t>
  </si>
  <si>
    <t>2510210833066890413</t>
  </si>
  <si>
    <t>2025-10-21T07:32:58.266Z</t>
  </si>
  <si>
    <t>TST-10/21/2025_2143</t>
  </si>
  <si>
    <t>BFS Settlement 10/20/2025</t>
  </si>
  <si>
    <t>2025-10-21T01:00:03.470Z</t>
  </si>
  <si>
    <t>YNexE7HMeu6CwHTcP5olg</t>
  </si>
  <si>
    <t>2025-10-20T18:48:59.135Z</t>
  </si>
  <si>
    <t>mbc5iiGuSr86vaWLsJamF</t>
  </si>
  <si>
    <t>59.12499999999999</t>
  </si>
  <si>
    <t>2025-10-20T15:27:45.682Z</t>
  </si>
  <si>
    <t>rnxLSS8IARFlOn0nc_Eft</t>
  </si>
  <si>
    <t>000004251020162223613374437361</t>
  </si>
  <si>
    <t>MOB/UTO/CBI TECH   RAY/for engine oil /33520434656</t>
  </si>
  <si>
    <t>2025-10-20T15:23:05.538Z</t>
  </si>
  <si>
    <t>fKq58BWqMEqrWgEfZbnJz</t>
  </si>
  <si>
    <t>000016251020161757000836788266</t>
  </si>
  <si>
    <t>NIBSS:9017243698:OPOOLA AKEEM OLANIYI:FIP MB  OPOOLA AKEEM OLANI FBNMOBILE CBI TECH   RAYMOND RAYMOND  VENTU:000016251020161757000836788266</t>
  </si>
  <si>
    <t>2025-10-20T15:18:16.485Z</t>
  </si>
  <si>
    <t>RE0RPHGwBYmfxN9jtiGEH</t>
  </si>
  <si>
    <t>100004251020142910143493848848</t>
  </si>
  <si>
    <t>NIBSS:9017243698:OLUWATOYIN TOSIN BAMGBOSE:Transfer from OLUWATOYIN TOSIN BAMGBOSE:100004251020142910143493848848</t>
  </si>
  <si>
    <t>2025-10-20T14:29:52.421Z</t>
  </si>
  <si>
    <t>KJkGThxIgwRLQVicN1aND</t>
  </si>
  <si>
    <t>2025-10-20T13:03:14.297Z</t>
  </si>
  <si>
    <t>-4zKUrJOmxFwrIqO0pEYw</t>
  </si>
  <si>
    <t>2025-10-20T11:37:04.802Z</t>
  </si>
  <si>
    <t>Nd-eXNclJpUDL1yZ-6bNV</t>
  </si>
  <si>
    <t>2025-10-20T10:53:28.756Z</t>
  </si>
  <si>
    <t>TST-10/20/2025_2143</t>
  </si>
  <si>
    <t>2025-10-20T01:00:03.006Z</t>
  </si>
  <si>
    <t>UX2FwfNfLt8aMKUfdsuec</t>
  </si>
  <si>
    <t>2025-10-19T20:02:59.806Z</t>
  </si>
  <si>
    <t>ZrIPiLe_dpmRQmPuBkrjr</t>
  </si>
  <si>
    <t>2025-10-19T19:49:14.542Z</t>
  </si>
  <si>
    <t>ujIEb9m3zjPPxbTMLjU4g</t>
  </si>
  <si>
    <t>2025-10-19T08:13:04.210Z</t>
  </si>
  <si>
    <t>TST-10/19/2025_2143</t>
  </si>
  <si>
    <t>2025-10-19T01:00:02.391Z</t>
  </si>
  <si>
    <t>U_wCFHxDRNkzTK7XPBAuB</t>
  </si>
  <si>
    <t>2025-10-18T19:23:20.786Z</t>
  </si>
  <si>
    <t>XoIxCQVQ5aj43cBhB-W6h</t>
  </si>
  <si>
    <t>2025-10-18T19:21:22.796Z</t>
  </si>
  <si>
    <t>IedwNF3-GCAX9QDE0_mXH</t>
  </si>
  <si>
    <t>2025-10-18T19:20:43.478Z</t>
  </si>
  <si>
    <t>TST-10/18/2025_2143</t>
  </si>
  <si>
    <t>2025-10-18T01:00:05.542Z</t>
  </si>
  <si>
    <t>BoYkbxBdTtQX98_SuanAV</t>
  </si>
  <si>
    <t>2025-10-17T12:16:34.205Z</t>
  </si>
  <si>
    <t>lY6VRxA9-7LWLY_R1MOzv</t>
  </si>
  <si>
    <t>2025-10-17T11:44:18.231Z</t>
  </si>
  <si>
    <t>TST-10/17/2025_2143</t>
  </si>
  <si>
    <t>BFS Settlement 10/16/2025</t>
  </si>
  <si>
    <t>2025-10-17T01:00:03.243Z</t>
  </si>
  <si>
    <t>pcbJRLz33HgTs_JKfDS0W</t>
  </si>
  <si>
    <t>2025-10-16T20:13:57.262Z</t>
  </si>
  <si>
    <t>nluCfOI1xyoTQ_LF-zxdZ</t>
  </si>
  <si>
    <t>2025-10-16T20:13:16.256Z</t>
  </si>
  <si>
    <t>moor245-CcXSc-RSAQa6a</t>
  </si>
  <si>
    <t>2025-10-16T12:58:30.102Z</t>
  </si>
  <si>
    <t>InwG2YmOnChZbDzVTR4kZ</t>
  </si>
  <si>
    <t>2025-10-16T10:56:54.100Z</t>
  </si>
  <si>
    <t>l6Hzxd1y8j7KA-YOJSxU8</t>
  </si>
  <si>
    <t>2025-10-16T10:29:35.647Z</t>
  </si>
  <si>
    <t>pBsk4dJboPhrbbMFGFAOp</t>
  </si>
  <si>
    <t>2025-10-16T10:25:19.562Z</t>
  </si>
  <si>
    <t>TRN-0BCEAD4K40JI9FG33GHCI2AD2K5GJ9KE</t>
  </si>
  <si>
    <t>2025-10-16T07:43:17.932Z</t>
  </si>
  <si>
    <t>TRN-50BEFKH5683CCG9B99F0IG7CBH9EEK8J</t>
  </si>
  <si>
    <t>2025-10-16T07:42:03.086Z</t>
  </si>
  <si>
    <t>TRN-G0HHG0J610A9H51J595K79II78GKCBB0</t>
  </si>
  <si>
    <t>2025-10-16T07:42:03.082Z</t>
  </si>
  <si>
    <t>TST-10/16/2025_2143</t>
  </si>
  <si>
    <t>BFS Settlement 10/15/2025</t>
  </si>
  <si>
    <t>2025-10-16T01:00:03.267Z</t>
  </si>
  <si>
    <t>yt_m2KjM2dwxuXIgYaFAj</t>
  </si>
  <si>
    <t>2025-10-15T19:53:30.245Z</t>
  </si>
  <si>
    <t>Yry9VKb3Kgynv41WIl31R</t>
  </si>
  <si>
    <t>2025-10-15T18:06:17.256Z</t>
  </si>
  <si>
    <t>TRN-69KD5K22K8D7692F06GII23II8B38I9H</t>
  </si>
  <si>
    <t>2025-10-15T07:59:57.848Z</t>
  </si>
  <si>
    <t>TRN-JADJI9HEKCKHBIF09J212BG6CE6C4J82</t>
  </si>
  <si>
    <t>2025-10-15T07:57:09.202Z</t>
  </si>
  <si>
    <t>TRN-4KBD0EE58A21I4AD1CD9BHC27G2DB32I</t>
  </si>
  <si>
    <t>2025-10-15T07:57:09.199Z</t>
  </si>
  <si>
    <t>TST-10/15/2025_2143</t>
  </si>
  <si>
    <t>BFS Settlement 10/14/2025</t>
  </si>
  <si>
    <t>2025-10-15T01:00:03.497Z</t>
  </si>
  <si>
    <t>xKVFcrCunWg8ewiGKluL5</t>
  </si>
  <si>
    <t>2025-10-14T10:50:29.680Z</t>
  </si>
  <si>
    <t>oivYRIPI8rPurTKQDkeyi</t>
  </si>
  <si>
    <t>2025-10-14T10:19:38.413Z</t>
  </si>
  <si>
    <t>sY3bStepAVLexxhsDbVhL</t>
  </si>
  <si>
    <t>2025-10-14T10:11:36.928Z</t>
  </si>
  <si>
    <t>TRN-B6J4C17468C67FC299BED630G257B52B</t>
  </si>
  <si>
    <t>2025-10-12T09:18:01.767Z</t>
  </si>
  <si>
    <t>TRN-4346H4IJ74KHD25J7BE3398BA4E60J5F</t>
  </si>
  <si>
    <t>2025-10-12T09:09:09.230Z</t>
  </si>
  <si>
    <t>TRN-JKH6C22GJ55HC38948KG5109I333800C</t>
  </si>
  <si>
    <t>2025-10-12T09:09:09.228Z</t>
  </si>
  <si>
    <t>TST-10/11/2025_2143</t>
  </si>
  <si>
    <t>2025-10-11T01:00:02.793Z</t>
  </si>
  <si>
    <t>tAQ8kQw7wPgOVTxLdWTUc</t>
  </si>
  <si>
    <t>2025-10-10T22:59:00.483Z</t>
  </si>
  <si>
    <t>yvMPxl2KdxgSUG-dSMA8i</t>
  </si>
  <si>
    <t>2025-10-08T23:22:43.217Z</t>
  </si>
  <si>
    <t>oU84upJi9ZuXRESjItIfm</t>
  </si>
  <si>
    <t>3.2249999999999996</t>
  </si>
  <si>
    <t>2025-10-08T23:21:04.583Z</t>
  </si>
  <si>
    <t>P73CE6zYn-FIv7W7_FZXw</t>
  </si>
  <si>
    <t>2025-10-08T23:20:13.244Z</t>
  </si>
  <si>
    <t>ol0ARkibJgLfBZgxQfiFN</t>
  </si>
  <si>
    <t>2025-10-08T23:19:00.804Z</t>
  </si>
  <si>
    <t>TRN-C497C7C515BK7BJ2JF1G9C0AA76FA130</t>
  </si>
  <si>
    <t>2025-10-08T23:09:54.638Z</t>
  </si>
  <si>
    <t>TRN-69422I5H7GIAG159DAJAF72298GC4DD1</t>
  </si>
  <si>
    <t>2025-10-08T22:51:39.160Z</t>
  </si>
  <si>
    <t>TRN-130E18JF056JHFJIG3A5GCK3A4G3G0F1</t>
  </si>
  <si>
    <t>2025-10-08T22:51:39.157Z</t>
  </si>
  <si>
    <t>TST-10/08/2025_2143</t>
  </si>
  <si>
    <t>BFS Settlement 10/7/2025</t>
  </si>
  <si>
    <t>2025-10-08T01:00:03.477Z</t>
  </si>
  <si>
    <t>z_gyrDT4qIaqS2pPJPXdx</t>
  </si>
  <si>
    <t>2025-10-07T22:10:56.866Z</t>
  </si>
  <si>
    <t>TRN-EK8A73A00K3K5BBBCD2911B39DAGG8C6</t>
  </si>
  <si>
    <t>2025-10-01T01:03:32.520Z</t>
  </si>
  <si>
    <t>TRN-AK10GDE102F1EEA8E485GJ20E90191HE</t>
  </si>
  <si>
    <t>2025-09-29T21:26:08.166Z</t>
  </si>
  <si>
    <t>dUhs58JBgTQq_BYJeBAus</t>
  </si>
  <si>
    <t>2025-09-29T21:16:27.612Z</t>
  </si>
  <si>
    <t>SLAbrdm8W1Igme8aotjlP</t>
  </si>
  <si>
    <t>2025-09-29T17:03:12.463Z</t>
  </si>
  <si>
    <t>TRN-56G8JI55E2CH0920KG4F6B9I0BA6AG97</t>
  </si>
  <si>
    <t>2025-09-29T16:56:32.956Z</t>
  </si>
  <si>
    <t>TRN-IH4A74DIB7KJECJ9EHJ34HGAKG0A19KE</t>
  </si>
  <si>
    <t xml:space="preserve">ADEX UNIQUE </t>
  </si>
  <si>
    <t>2025-11-01T01:02:58.658Z</t>
  </si>
  <si>
    <t>TRN-X-NRGvBs-0pd6-Q-8l-a_</t>
  </si>
  <si>
    <t>2510082021228430733</t>
  </si>
  <si>
    <t>2025-10-08T19:21:11.421Z</t>
  </si>
  <si>
    <t>TRN-6G3F59A9A2GF54DHC7J0IIJ883H7C6IE</t>
  </si>
  <si>
    <t>2025-10-01T01:03:11.769Z</t>
  </si>
  <si>
    <t>iqm8OE-9j7xYrmTSgEo9E</t>
  </si>
  <si>
    <t>2025-09-26T17:40:26.922Z</t>
  </si>
  <si>
    <t>yN78sdOJbIR-j0WqS7RiX</t>
  </si>
  <si>
    <t>2025-09-25T14:05:13.530Z</t>
  </si>
  <si>
    <t>TlsEuhcydRSoVghYfKsFq</t>
  </si>
  <si>
    <t>2025-09-25T14:00:51.567Z</t>
  </si>
  <si>
    <t>zdRDPzcJ6hmlydmNURpq7</t>
  </si>
  <si>
    <t>2025-09-25T10:44:28.297Z</t>
  </si>
  <si>
    <t>I6PuJve2WmnvqynXeNyGo</t>
  </si>
  <si>
    <t>2025-09-25T10:39:44.259Z</t>
  </si>
  <si>
    <t>gbiZ4JedseGjuVKZjkfzM</t>
  </si>
  <si>
    <t>2025-09-25T10:33:51.433Z</t>
  </si>
  <si>
    <t>EH92N0rpUhOwRt3RVrhxr</t>
  </si>
  <si>
    <t>2025-09-25T10:28:02.997Z</t>
  </si>
  <si>
    <t>Iz0WzXa3Z6S1Y1jTFY3Zb</t>
  </si>
  <si>
    <t>100004250925092442141757305317</t>
  </si>
  <si>
    <t>NIBSS:9015295769:ISRAEL OKANLAWON AVOSEH:Transfer from Israel Okanlawon Avoseh:100004250925092442141757305317</t>
  </si>
  <si>
    <t>2025-09-25T09:28:24.993Z</t>
  </si>
  <si>
    <t>TRN-B1HJEH73ADGDB3949801B78HF3BGI2FE</t>
  </si>
  <si>
    <t>2025-09-24T15:38:24.478Z</t>
  </si>
  <si>
    <t>TRN-8AK5FA5B22A9D7E778C882255CB38A1A</t>
  </si>
  <si>
    <t>2025-09-24T14:35:51.867Z</t>
  </si>
  <si>
    <t>JVYpe9Pa8hHWdHLOHBD6Z</t>
  </si>
  <si>
    <t xml:space="preserve">Bayonle success </t>
  </si>
  <si>
    <t>6.449999999999999</t>
  </si>
  <si>
    <t>2026-03-08T19:12:43.980Z</t>
  </si>
  <si>
    <t>aYxPcuu4ju25cswLA6ZjW</t>
  </si>
  <si>
    <t>2026-03-08T19:11:53.865Z</t>
  </si>
  <si>
    <t>TRN-z1aQcW9Ur5-U0PZ6mpdpO</t>
  </si>
  <si>
    <t>000008260307053522522548481409</t>
  </si>
  <si>
    <t>2026-03-07T04:35:13.005Z</t>
  </si>
  <si>
    <t>TRN-CS1E7RLSgoDkjqOJWneM7</t>
  </si>
  <si>
    <t>000008260306122901941527134509</t>
  </si>
  <si>
    <t>2026-03-06T11:28:50.428Z</t>
  </si>
  <si>
    <t>TST-03/06/2026_2205</t>
  </si>
  <si>
    <t>2026-03-06T01:00:08.647Z</t>
  </si>
  <si>
    <t>k9rIiw0-8nTWYA0QqDrYh</t>
  </si>
  <si>
    <t>2026-03-05T14:44:06.730Z</t>
  </si>
  <si>
    <t>IHUGwoj3-tL0wc4vE5mSl</t>
  </si>
  <si>
    <t>2026-03-05T11:43:41.399Z</t>
  </si>
  <si>
    <t>TST-03/05/2026_2205</t>
  </si>
  <si>
    <t>BFS Settlement 3/4/2026</t>
  </si>
  <si>
    <t>2026-03-05T01:00:09.123Z</t>
  </si>
  <si>
    <t>XzEla98DkZknOBS5m3T0h</t>
  </si>
  <si>
    <t>2026-03-04T14:06:44.424Z</t>
  </si>
  <si>
    <t>h8O4qVJiWEJslu5Rmy8_3</t>
  </si>
  <si>
    <t>2026-03-04T14:03:42.939Z</t>
  </si>
  <si>
    <t>49SD3-TJdaylOaizVTFIL</t>
  </si>
  <si>
    <t>2026-03-04T10:36:06.919Z</t>
  </si>
  <si>
    <t>TST-03/04/2026_2205</t>
  </si>
  <si>
    <t>BFS Settlement 3/3/2026</t>
  </si>
  <si>
    <t>2026-03-04T01:00:15.326Z</t>
  </si>
  <si>
    <t>7Y6KD4WxLPsYMhRYdurgX</t>
  </si>
  <si>
    <t>2026-03-03T18:10:41.141Z</t>
  </si>
  <si>
    <t>q_xBglhsz0X7h7fqFEBYb</t>
  </si>
  <si>
    <t>2026-03-03T15:40:13.350Z</t>
  </si>
  <si>
    <t>JXQHOUhsRyCntMIV76EVE</t>
  </si>
  <si>
    <t>2026-03-03T14:55:31.125Z</t>
  </si>
  <si>
    <t>AGS0Dmd1xfVT4GksSqrT0</t>
  </si>
  <si>
    <t>2026-03-03T14:48:09.584Z</t>
  </si>
  <si>
    <t>TRN-7ru6uwc_pi5k-FHw1G6ZG</t>
  </si>
  <si>
    <t>000008260217234641801502123809</t>
  </si>
  <si>
    <t>2026-02-17T22:46:30.527Z</t>
  </si>
  <si>
    <t>q6aFfV746puY6_grgOKPm</t>
  </si>
  <si>
    <t>2026-02-17T18:41:17.159Z</t>
  </si>
  <si>
    <t>Q20XCR8s2sJgtE3TTtecc</t>
  </si>
  <si>
    <t>2026-02-16T19:32:53.596Z</t>
  </si>
  <si>
    <t>yoYxUpTarN_HrRF99LSDC</t>
  </si>
  <si>
    <t>2026-02-16T19:30:29.171Z</t>
  </si>
  <si>
    <t>rKHHwQlmHQUJl6rm_kU86</t>
  </si>
  <si>
    <t>2026-02-16T18:26:04.184Z</t>
  </si>
  <si>
    <t>TST-02/15/2026_2205</t>
  </si>
  <si>
    <t>BFS Settlement 2/14/2026</t>
  </si>
  <si>
    <t>2026-02-15T01:00:07.259Z</t>
  </si>
  <si>
    <t>ybEcBtn2wn656kXquy52q</t>
  </si>
  <si>
    <t>2026-02-14T09:27:33.467Z</t>
  </si>
  <si>
    <t>FzGmcTYGWW0AVdhL0DXr8</t>
  </si>
  <si>
    <t>2026-02-14T08:56:14.390Z</t>
  </si>
  <si>
    <t>elk4k_ZC3daC7vI5HUcjt</t>
  </si>
  <si>
    <t>2026-02-14T08:55:25.928Z</t>
  </si>
  <si>
    <t>3cTQEx04sQ7QxSJmAaxkg</t>
  </si>
  <si>
    <t>2026-02-14T08:45:18.598Z</t>
  </si>
  <si>
    <t>TST-02/14/2026_2205</t>
  </si>
  <si>
    <t>2026-02-14T01:00:08.581Z</t>
  </si>
  <si>
    <t>EV-TJfE8PjyoCg0rRoCKC</t>
  </si>
  <si>
    <t>2026-02-13T18:41:39.654Z</t>
  </si>
  <si>
    <t>RQQuYQ2JcIetdcoXc2E_A</t>
  </si>
  <si>
    <t>2026-02-13T18:34:20.467Z</t>
  </si>
  <si>
    <t>QTpZrCOH0rm9fmgyFEWTW</t>
  </si>
  <si>
    <t>2026-02-13T18:22:04.959Z</t>
  </si>
  <si>
    <t>0H_QA5LHcUG2Y5iGn2Z97</t>
  </si>
  <si>
    <t>2026-02-13T18:20:39.022Z</t>
  </si>
  <si>
    <t>TRN-rdqo5Tju_EKJt5QWh9XRb</t>
  </si>
  <si>
    <t>000008260212224121881872752809</t>
  </si>
  <si>
    <t>2026-02-12T21:41:13.176Z</t>
  </si>
  <si>
    <t>TST-02/12/2026_2205</t>
  </si>
  <si>
    <t>2026-02-12T01:00:08.190Z</t>
  </si>
  <si>
    <t>xibkY4EU9qkAFXFUL87U9</t>
  </si>
  <si>
    <t>2026-02-11T18:45:29.812Z</t>
  </si>
  <si>
    <t>TST-02/11/2026_2205</t>
  </si>
  <si>
    <t>BFS Settlement 2/10/2026</t>
  </si>
  <si>
    <t>2026-02-11T01:00:09.032Z</t>
  </si>
  <si>
    <t>1akR76spL_kYG6v5heR2v</t>
  </si>
  <si>
    <t>2026-02-10T18:06:30.244Z</t>
  </si>
  <si>
    <t>pp13l3uqaefjbyj_QnTTO</t>
  </si>
  <si>
    <t>2026-02-10T17:44:32.813Z</t>
  </si>
  <si>
    <t>A0U46JEX7vtDkPLa6__T-</t>
  </si>
  <si>
    <t>2026-02-10T17:40:57.271Z</t>
  </si>
  <si>
    <t>8Iy7SjP-Kle7iYWuIyXhO</t>
  </si>
  <si>
    <t>2026-02-10T17:34:31.379Z</t>
  </si>
  <si>
    <t>EBJF8s4QdHxZjuhfWL0kJ</t>
  </si>
  <si>
    <t>2026-02-10T13:10:57.565Z</t>
  </si>
  <si>
    <t>TST-02/10/2026_2205</t>
  </si>
  <si>
    <t>2026-02-10T01:00:07.606Z</t>
  </si>
  <si>
    <t>ACbr44yC5TuNB_kPBhhRh</t>
  </si>
  <si>
    <t>2026-02-09T18:42:55.278Z</t>
  </si>
  <si>
    <t>EBZ06FE_DqY5HfSXsc7qB</t>
  </si>
  <si>
    <t>2026-02-09T18:39:17.223Z</t>
  </si>
  <si>
    <t>TRN-QyKuNxC6lmZ8Pq5tYzqLm</t>
  </si>
  <si>
    <t>000008260209193744664486407909</t>
  </si>
  <si>
    <t>2026-02-09T18:37:34.884Z</t>
  </si>
  <si>
    <t>CRHbYqGJNAnxsVFrClByB</t>
  </si>
  <si>
    <t>100033260207192112443214625557</t>
  </si>
  <si>
    <t>NIBSS:9014574178:LILIAN - EFUGOGA:LILIAN - EFUGOGA 7036065862:100033260207192112443214625557</t>
  </si>
  <si>
    <t>2026-02-07T19:22:05.069Z</t>
  </si>
  <si>
    <t>bn57mQ9n5dXsFUoiJX0mg</t>
  </si>
  <si>
    <t>2026-02-07T19:18:11.662Z</t>
  </si>
  <si>
    <t>48J_YI4yuqsu2UhHpXr1w</t>
  </si>
  <si>
    <t>2026-02-07T19:16:47.063Z</t>
  </si>
  <si>
    <t>TRN-149FF84GJ5DE9EJ6BK0476H9A5F2BAE9</t>
  </si>
  <si>
    <t>2026-02-04T22:56:39.405Z</t>
  </si>
  <si>
    <t>TRN-1DAE78K50G72FEJGK5H51C2GJAKF0B3J</t>
  </si>
  <si>
    <t>transfer from master to lmg2z78s19</t>
  </si>
  <si>
    <t>2026-01-04T19:51:49.030Z</t>
  </si>
  <si>
    <t>TRN-39IA5HDCJ04F6BD00GF32B12I10JK7A1</t>
  </si>
  <si>
    <t>2026-01-04T19:51:49.020Z</t>
  </si>
  <si>
    <t>TST-12/31/2025_2205</t>
  </si>
  <si>
    <t>2025-12-31T01:00:06.760Z</t>
  </si>
  <si>
    <t>TRN-aVnxxwz2rlCdZOkFcsIf3</t>
  </si>
  <si>
    <t>2512301544237289873</t>
  </si>
  <si>
    <t>2025-12-30T14:44:09.951Z</t>
  </si>
  <si>
    <t>kpWeG-oZSNWtH4dRSGhT4</t>
  </si>
  <si>
    <t>2025-12-30T14:38:50.108Z</t>
  </si>
  <si>
    <t>n0XQY4I9e-vr38cLFP-RX</t>
  </si>
  <si>
    <t>2025-12-30T10:40:11.856Z</t>
  </si>
  <si>
    <t>usxjrqU3EhieG1Bo3Cmqa</t>
  </si>
  <si>
    <t>2025-12-30T10:39:11.329Z</t>
  </si>
  <si>
    <t>zJHcuhObzy741JRAXGiVN</t>
  </si>
  <si>
    <t>2025-12-30T10:38:25.705Z</t>
  </si>
  <si>
    <t>LTrIuC2ayAjFmF3F1AUdw</t>
  </si>
  <si>
    <t>2025-12-30T10:31:24.428Z</t>
  </si>
  <si>
    <t>F3YI8BIf5ThwIr5fG6KPV</t>
  </si>
  <si>
    <t>2025-12-30T10:28:43.761Z</t>
  </si>
  <si>
    <t>gAcLJoXGvMRg8AR8YU8Gg</t>
  </si>
  <si>
    <t>2025-12-30T08:03:40.850Z</t>
  </si>
  <si>
    <t>VSKietptuHbRgxF85ptAs</t>
  </si>
  <si>
    <t>2025-12-30T08:02:12.475Z</t>
  </si>
  <si>
    <t>TST-12/30/2025_2205</t>
  </si>
  <si>
    <t>2025-12-30T01:00:05.786Z</t>
  </si>
  <si>
    <t>FpUwvM6aRVSJ8OfyK6IX4</t>
  </si>
  <si>
    <t>2025-12-29T18:38:52.145Z</t>
  </si>
  <si>
    <t>LNjuIgs8mRRkLnXBoi7lt</t>
  </si>
  <si>
    <t>2025-12-29T18:36:34.269Z</t>
  </si>
  <si>
    <t>JNtCgS7zW6RyROrp92XOh</t>
  </si>
  <si>
    <t>2025-12-29T18:34:43.523Z</t>
  </si>
  <si>
    <t>GKVWfLQ71RvwbM2r-Q8l2</t>
  </si>
  <si>
    <t>2025-12-29T17:50:16.924Z</t>
  </si>
  <si>
    <t>m-Xl8LjC8O0pCEjTwuhfd</t>
  </si>
  <si>
    <t>2025-12-29T17:48:36.466Z</t>
  </si>
  <si>
    <t>yjxKbZ7Yw3HLWg8mHcvB_</t>
  </si>
  <si>
    <t>2025-12-29T15:00:04.805Z</t>
  </si>
  <si>
    <t>TRN-EwF9SYdJoDIr65AoZ9XoI</t>
  </si>
  <si>
    <t>2512240059311878473</t>
  </si>
  <si>
    <t>2025-12-23T23:59:21.030Z</t>
  </si>
  <si>
    <t>VKb1LlxgRNpqQYMiLtc8x</t>
  </si>
  <si>
    <t>2025-12-23T11:20:32.912Z</t>
  </si>
  <si>
    <t>TST-12/23/2025_2205</t>
  </si>
  <si>
    <t>2025-12-23T01:00:05.731Z</t>
  </si>
  <si>
    <t>pcR64IqKsdIylBLHDfZ0b</t>
  </si>
  <si>
    <t>2025-12-22T18:34:33.482Z</t>
  </si>
  <si>
    <t>TRN-iFWrM-acZqn1JETfiX3Au</t>
  </si>
  <si>
    <t>2025-12-21T22:55:23.590Z</t>
  </si>
  <si>
    <t>TRN-iF57tRfLv5vudevt1EjT4</t>
  </si>
  <si>
    <t>2025-12-21T22:52:24.701Z</t>
  </si>
  <si>
    <t>TRN-RBij3r6rpfqUvzIf4mplT</t>
  </si>
  <si>
    <t>2512212351421733293</t>
  </si>
  <si>
    <t>2025-12-21T22:51:34.647Z</t>
  </si>
  <si>
    <t>TRN-titwEgy9tbwf1Ar0RqbZb</t>
  </si>
  <si>
    <t>2025-12-21T22:49:04.024Z</t>
  </si>
  <si>
    <t>TST-12/20/2025_2205</t>
  </si>
  <si>
    <t>2025-12-20T01:00:14.818Z</t>
  </si>
  <si>
    <t>f-_JGsaEqvAWU9RNl39y8</t>
  </si>
  <si>
    <t>2025-12-19T21:27:01.348Z</t>
  </si>
  <si>
    <t>6O5ZjorboeEG6Qd0_9OkT</t>
  </si>
  <si>
    <t>2025-12-19T14:38:33.657Z</t>
  </si>
  <si>
    <t>TST-12/19/2025_2205</t>
  </si>
  <si>
    <t>2025-12-19T01:00:13.558Z</t>
  </si>
  <si>
    <t>7DLsvERaoxtQdAU0dxUIO</t>
  </si>
  <si>
    <t>2025-12-18T10:47:34.587Z</t>
  </si>
  <si>
    <t>2025-12-18T10:45:57.585Z</t>
  </si>
  <si>
    <t>DnrT9slIWNvljHwPVzRps</t>
  </si>
  <si>
    <t>2025-12-18T10:41:12.436Z</t>
  </si>
  <si>
    <t>6en6y82vXdyU_pqCD1f1k</t>
  </si>
  <si>
    <t>2025-12-17T11:06:34.552Z</t>
  </si>
  <si>
    <t>TRulG7IwYKxnCRWqmPbS0</t>
  </si>
  <si>
    <t>2025-12-17T11:02:42.687Z</t>
  </si>
  <si>
    <t>EFQ6r6je1dvIZJVqojXd6</t>
  </si>
  <si>
    <t>2025-12-17T10:59:58.610Z</t>
  </si>
  <si>
    <t>TST-12/17/2025_2205</t>
  </si>
  <si>
    <t>2025-12-17T01:00:06.992Z</t>
  </si>
  <si>
    <t>zAudHpI9NrG3yVSw_sUC5</t>
  </si>
  <si>
    <t>2025-12-16T08:14:26.842Z</t>
  </si>
  <si>
    <t>TRN-al9OnIsQPQGEk84eOD2aK</t>
  </si>
  <si>
    <t>2512082358331846933</t>
  </si>
  <si>
    <t>2025-12-08T22:58:22.064Z</t>
  </si>
  <si>
    <t>Vn-Do61CeenNOmhiqYtmm</t>
  </si>
  <si>
    <t>2025-12-07T13:21:19.810Z</t>
  </si>
  <si>
    <t>S0tzvAaPomQlF-Nl9i_WN</t>
  </si>
  <si>
    <t>2025-12-07T13:19:31.312Z</t>
  </si>
  <si>
    <t>f3h-ldp6xYz8ELYRC8A8K</t>
  </si>
  <si>
    <t>2025-12-07T12:52:42.465Z</t>
  </si>
  <si>
    <t>TST-12/06/2025_2205</t>
  </si>
  <si>
    <t>2025-12-06T01:00:25.629Z</t>
  </si>
  <si>
    <t>4QJER9K34cFt9752ulK1B</t>
  </si>
  <si>
    <t>2025-12-05T11:40:42.856Z</t>
  </si>
  <si>
    <t>rTTkyrhSrfR7kUNxnoKTy</t>
  </si>
  <si>
    <t>56.974999999999994</t>
  </si>
  <si>
    <t>2025-12-03T09:29:11.157Z</t>
  </si>
  <si>
    <t>JXoTXLIGClWkeUOu_pHsL</t>
  </si>
  <si>
    <t>2025-12-03T09:28:05.465Z</t>
  </si>
  <si>
    <t>dI8dQspf3Qf6Fg_xhBTwT</t>
  </si>
  <si>
    <t>2025-12-02T07:58:27.764Z</t>
  </si>
  <si>
    <t>vcTBWQVSxG2pOob6VC9_x</t>
  </si>
  <si>
    <t>2025-12-02T07:57:33.856Z</t>
  </si>
  <si>
    <t>DkZcOH8QY2FbfnrlIQYTc</t>
  </si>
  <si>
    <t>2025-12-02T07:56:52.910Z</t>
  </si>
  <si>
    <t>TST-12/02/2025_2205</t>
  </si>
  <si>
    <t>2025-12-02T01:00:09.206Z</t>
  </si>
  <si>
    <t>tziurtXW397yY_k-5pVLF</t>
  </si>
  <si>
    <t>2025-12-01T17:35:11.307Z</t>
  </si>
  <si>
    <t>JLk76l8KtRD3xyDtTCRIq</t>
  </si>
  <si>
    <t>2025-12-01T17:32:14.988Z</t>
  </si>
  <si>
    <t>TST-12/01/2025_2205</t>
  </si>
  <si>
    <t>2025-12-01T01:00:06.801Z</t>
  </si>
  <si>
    <t>TRN-1dmLiEUF3cxLU9t8ddmK7</t>
  </si>
  <si>
    <t>2511301449443272623</t>
  </si>
  <si>
    <t>2025-11-30T13:49:33.703Z</t>
  </si>
  <si>
    <t>mG89UJA3KeeYSkzRkyxLP</t>
  </si>
  <si>
    <t>2025-11-30T13:20:40.158Z</t>
  </si>
  <si>
    <t>fCA6sU31cZu9ONEdHhhG2</t>
  </si>
  <si>
    <t>2025-11-30T08:36:59.299Z</t>
  </si>
  <si>
    <t>uIPTJb2TjZDihcOGM7BMf</t>
  </si>
  <si>
    <t>2025-11-30T08:33:28.307Z</t>
  </si>
  <si>
    <t>R42JsHP3ZKokBvfm3BvJq</t>
  </si>
  <si>
    <t>2025-11-30T08:31:38.701Z</t>
  </si>
  <si>
    <t>TST-11/30/2025_2205</t>
  </si>
  <si>
    <t>2025-11-30T01:00:06.828Z</t>
  </si>
  <si>
    <t>Br6N7feGaMLid4sYQ0wzU</t>
  </si>
  <si>
    <t>2025-11-29T12:11:10.161Z</t>
  </si>
  <si>
    <t>9zcylb6mXVZiSj0KOmLz1</t>
  </si>
  <si>
    <t>2025-11-29T12:08:40.960Z</t>
  </si>
  <si>
    <t>cuZY1dUcbElTVH03fTQ1M</t>
  </si>
  <si>
    <t>2025-11-29T10:03:26.251Z</t>
  </si>
  <si>
    <t>TST-11/28/2025_2205</t>
  </si>
  <si>
    <t>2025-11-28T01:00:05.496Z</t>
  </si>
  <si>
    <t>bhuHf2UICIExn0A5y48nV</t>
  </si>
  <si>
    <t>2025-11-27T17:37:12.126Z</t>
  </si>
  <si>
    <t>4RQETewzA_Rn1yE1WvIJM</t>
  </si>
  <si>
    <t>2025-11-27T17:35:03.088Z</t>
  </si>
  <si>
    <t>2025-11-27T17:33:57.033Z</t>
  </si>
  <si>
    <t>nvBNdjubEPVrjuEc1eq1c</t>
  </si>
  <si>
    <t>2025-11-27T17:25:53.672Z</t>
  </si>
  <si>
    <t>2_8QaMSYlW7We40H5F0aF</t>
  </si>
  <si>
    <t>2025-11-27T17:22:18.545Z</t>
  </si>
  <si>
    <t>UW0srnI3v9cYRaUY3ggWh</t>
  </si>
  <si>
    <t>2025-11-27T17:18:36.602Z</t>
  </si>
  <si>
    <t>wF3Baa4_RtG9DxHlKR_Wx</t>
  </si>
  <si>
    <t>2025-11-27T17:03:34.572Z</t>
  </si>
  <si>
    <t>tDj-q0dpZWffNgevNgtwu</t>
  </si>
  <si>
    <t>12.899999999999999</t>
  </si>
  <si>
    <t>2025-11-27T16:00:58.079Z</t>
  </si>
  <si>
    <t>TST-11/27/2025_2205</t>
  </si>
  <si>
    <t>2025-11-27T01:00:05.675Z</t>
  </si>
  <si>
    <t>4Rkn-uLC3fJRPqa_LMKSp</t>
  </si>
  <si>
    <t>2025-11-26T17:52:11.142Z</t>
  </si>
  <si>
    <t>pKewZyCJ0kKLfqlsvKqoi</t>
  </si>
  <si>
    <t>2025-11-26T17:28:18.124Z</t>
  </si>
  <si>
    <t>EUouI7xmNT4Okq1Z2qWlh</t>
  </si>
  <si>
    <t>2025-11-26T17:17:50.493Z</t>
  </si>
  <si>
    <t>TST-11/26/2025_2205</t>
  </si>
  <si>
    <t>2025-11-26T01:00:04.310Z</t>
  </si>
  <si>
    <t>uqkNqDYEWn83LJLpyqd_6</t>
  </si>
  <si>
    <t>2025-11-25T14:07:28.759Z</t>
  </si>
  <si>
    <t>4xIFk2zdiDMp-nvxnadWM</t>
  </si>
  <si>
    <t>2025-11-25T14:05:28.520Z</t>
  </si>
  <si>
    <t>TRN-Dx3BN4m7aNbwLLx-dm5Fi</t>
  </si>
  <si>
    <t>2511220750169584943</t>
  </si>
  <si>
    <t>2025-11-22T06:50:05.229Z</t>
  </si>
  <si>
    <t>TST-11/22/2025_2205</t>
  </si>
  <si>
    <t>2025-11-22T01:00:04.187Z</t>
  </si>
  <si>
    <t>0UTQbZ0VjA4D8iOoOs8RQ</t>
  </si>
  <si>
    <t>2025-11-21T16:45:06.459Z</t>
  </si>
  <si>
    <t>TST-11/21/2025_2205</t>
  </si>
  <si>
    <t>2025-11-21T01:00:04.179Z</t>
  </si>
  <si>
    <t>TRN-QFCpclDeWr_JGJ-Mok9YS</t>
  </si>
  <si>
    <t>2511201259153373313</t>
  </si>
  <si>
    <t>2025-11-20T11:59:05.157Z</t>
  </si>
  <si>
    <t>gzme3FHa3GLdIN4kRHiqS</t>
  </si>
  <si>
    <t>2025-11-20T06:52:00.806Z</t>
  </si>
  <si>
    <t>TRN-1AD815KH8C8GI1687K5C7JI2H9FHKAJC</t>
  </si>
  <si>
    <t>2025-11-01T01:03:46.537Z</t>
  </si>
  <si>
    <t>TST-10/27/2025_2205</t>
  </si>
  <si>
    <t>2025-10-27T01:00:02.353Z</t>
  </si>
  <si>
    <t>gUrbxEos3EAW00FkLNsxE</t>
  </si>
  <si>
    <t>2025-10-26T18:26:46.579Z</t>
  </si>
  <si>
    <t>UirNJ1i9sMDEnBw3xFFty</t>
  </si>
  <si>
    <t>2025-10-26T18:02:36.406Z</t>
  </si>
  <si>
    <t>TST-10/19/2025_2205</t>
  </si>
  <si>
    <t>2025-10-19T01:00:02.944Z</t>
  </si>
  <si>
    <t>K6wz0dQ-6TNaBChHU8NSK</t>
  </si>
  <si>
    <t>2025-10-18T13:55:01.232Z</t>
  </si>
  <si>
    <t>QPBziooJOEL-g-dNy2bHQ</t>
  </si>
  <si>
    <t>2025-10-16T10:54:00.681Z</t>
  </si>
  <si>
    <t>qeLXRYBqjM1FcI0-EkkMq</t>
  </si>
  <si>
    <t>2025-10-16T10:53:19.756Z</t>
  </si>
  <si>
    <t>kHSRpk_P1tvDsmQUJpteR</t>
  </si>
  <si>
    <t>2025-10-16T10:50:27.123Z</t>
  </si>
  <si>
    <t>TRN-E9K0BEIKFB3F78C20EAF1DGJFJ1E1K79</t>
  </si>
  <si>
    <t>2025-10-15T18:01:46.945Z</t>
  </si>
  <si>
    <t>TRN-7IG7D926G11463D412FECHIJFI81JEEK</t>
  </si>
  <si>
    <t>2025-10-15T17:28:51.681Z</t>
  </si>
  <si>
    <t>TRN-PkBM6tKzue_xuhn4r9hkD</t>
  </si>
  <si>
    <t>000008260307094352432886666607</t>
  </si>
  <si>
    <t>Annybiz</t>
  </si>
  <si>
    <t>2026-03-07T08:43:43.837Z</t>
  </si>
  <si>
    <t>TST-03/01/2026_2121</t>
  </si>
  <si>
    <t>BFS Settlement 2/28/2026</t>
  </si>
  <si>
    <t>2026-03-01T01:00:17.196Z</t>
  </si>
  <si>
    <t>NFkAX0TdKI6TpK8G7aG3d</t>
  </si>
  <si>
    <t>100004260228182844153478793843</t>
  </si>
  <si>
    <t>NIBSS:9011090756:RASHEEDAT OMOBONIKE OYELAKIN:Transfer from RASHEEDAT OMOBONIKE OYELAKIN:100004260228182844153478793843</t>
  </si>
  <si>
    <t>2026-02-28T18:29:07.014Z</t>
  </si>
  <si>
    <t>TST-02/27/2026_2121</t>
  </si>
  <si>
    <t>2026-02-27T01:00:17.960Z</t>
  </si>
  <si>
    <t>EpqLIwDoK4IT17UnKga6Q</t>
  </si>
  <si>
    <t>2026-02-26T18:00:35.565Z</t>
  </si>
  <si>
    <t>Er8KC6rYuGGpSrzPRAZTI</t>
  </si>
  <si>
    <t>2026-02-26T17:55:15.642Z</t>
  </si>
  <si>
    <t>TST-02/26/2026_2121</t>
  </si>
  <si>
    <t>2026-02-26T01:00:17.219Z</t>
  </si>
  <si>
    <t>l7j9Z6jB4sAFPGyb5mniu</t>
  </si>
  <si>
    <t>2026-02-25T11:39:12.615Z</t>
  </si>
  <si>
    <t>cIxhA0HuBPoXAYxAiBTRp</t>
  </si>
  <si>
    <t>2026-02-19T07:23:18.310Z</t>
  </si>
  <si>
    <t>CjQiKB_oePFZgAErF_6r_</t>
  </si>
  <si>
    <t>2026-02-19T07:22:37.068Z</t>
  </si>
  <si>
    <t>TST-02/18/2026_2121</t>
  </si>
  <si>
    <t>2026-02-18T01:00:09.321Z</t>
  </si>
  <si>
    <t>biXuozqONbcuUPLBQs4jR</t>
  </si>
  <si>
    <t>2026-02-17T07:32:47.750Z</t>
  </si>
  <si>
    <t>2rlFwPvsVMTwt_4EjMrOX</t>
  </si>
  <si>
    <t>2026-02-17T07:30:13.927Z</t>
  </si>
  <si>
    <t>LEmzGk6G0OBxoaaOi3dUF</t>
  </si>
  <si>
    <t>2026-02-17T06:56:15.972Z</t>
  </si>
  <si>
    <t>VSXSbLa-Ik0mCDXrObPAW</t>
  </si>
  <si>
    <t>2026-02-16T19:16:33.566Z</t>
  </si>
  <si>
    <t>V7vBPK3oAP_Q77RAiMVrB</t>
  </si>
  <si>
    <t>2026-02-16T19:15:26.250Z</t>
  </si>
  <si>
    <t>Ujg1Lg9Fo7p69xVidcGIa</t>
  </si>
  <si>
    <t>2026-02-16T19:14:56.279Z</t>
  </si>
  <si>
    <t>gBQL5RK6HKzLCY6tIG4sQ</t>
  </si>
  <si>
    <t>2026-02-16T19:12:39.370Z</t>
  </si>
  <si>
    <t>HphbuJCW8rIFiwD9nLImW</t>
  </si>
  <si>
    <t>2026-02-16T19:11:10.256Z</t>
  </si>
  <si>
    <t>TRN-b-vENc2hCAFnnylPVd3kZ</t>
  </si>
  <si>
    <t>000008260216201050450385149907</t>
  </si>
  <si>
    <t>2026-02-16T19:10:41.643Z</t>
  </si>
  <si>
    <t>TST-02/14/2026_2121</t>
  </si>
  <si>
    <t>2026-02-14T01:00:09.443Z</t>
  </si>
  <si>
    <t>QZNC2BfkqGneUef_fuMI0</t>
  </si>
  <si>
    <t>2026-02-13T11:55:38.192Z</t>
  </si>
  <si>
    <t>QYMXQ2ujXUxoxsZdDkds_</t>
  </si>
  <si>
    <t>2026-02-13T11:53:18.267Z</t>
  </si>
  <si>
    <t>2026-02-13T11:52:43.258Z</t>
  </si>
  <si>
    <t>lE9mMLsQ74TD3WOa4yZ8i</t>
  </si>
  <si>
    <t>2026-02-13T11:50:15.553Z</t>
  </si>
  <si>
    <t>TRN-peK-mZrc96hXuyiEO-I3l</t>
  </si>
  <si>
    <t>000008260213124742662159317109</t>
  </si>
  <si>
    <t>2026-02-13T11:47:32.341Z</t>
  </si>
  <si>
    <t>n7-p0s7u2Bh9CjT2_JLLt</t>
  </si>
  <si>
    <t>2026-02-13T11:38:58.124Z</t>
  </si>
  <si>
    <t>3WR47zHhOCht0uJAH0qyE</t>
  </si>
  <si>
    <t>2026-02-13T11:38:03.004Z</t>
  </si>
  <si>
    <t>LqOhcpLVvekSPdTy1UASh</t>
  </si>
  <si>
    <t>2026-02-13T11:35:42.240Z</t>
  </si>
  <si>
    <t>ULnSz5BowW1cOvT6IAKf7</t>
  </si>
  <si>
    <t>2026-02-13T11:34:00.826Z</t>
  </si>
  <si>
    <t>TST-02/12/2026_2121</t>
  </si>
  <si>
    <t>2026-02-12T01:00:08.932Z</t>
  </si>
  <si>
    <t>hVcOD0pv0XqP_cD4rzUl6</t>
  </si>
  <si>
    <t>2026-02-11T09:26:47.622Z</t>
  </si>
  <si>
    <t>CY6VQlmPHL-eO_3pyfYYB</t>
  </si>
  <si>
    <t>2026-02-11T09:02:28.529Z</t>
  </si>
  <si>
    <t>TST-02/11/2026_2121</t>
  </si>
  <si>
    <t>2026-02-11T01:00:09.959Z</t>
  </si>
  <si>
    <t>GpvY-M6kskhNffzqc3t0B</t>
  </si>
  <si>
    <t>2026-02-10T08:32:52.425Z</t>
  </si>
  <si>
    <t>KVX1k4hFa6-8RfdnCvE7N</t>
  </si>
  <si>
    <t>2026-02-10T07:47:35.957Z</t>
  </si>
  <si>
    <t>TRN-E8DJACACEKC9C7BBKFAI697FIDF0AC2D</t>
  </si>
  <si>
    <t>2025-11-01T01:02:59.024Z</t>
  </si>
  <si>
    <t>nYTV-8xAA5kp7nDgxZk7j</t>
  </si>
  <si>
    <t>2025-10-13T15:00:22.133Z</t>
  </si>
  <si>
    <t>ame8BTA10l2W_G3XLEZTA</t>
  </si>
  <si>
    <t>090405251013155356834306813932</t>
  </si>
  <si>
    <t>NIBSS:9011090756:OLAMMA  ANN  DANIELS:OLAMMA  ANN  Trf for Customer AT68 TRF2MPTc71k01977749651107434497:090405251013155356834306813932</t>
  </si>
  <si>
    <t>2025-10-13T14:55:07.527Z</t>
  </si>
  <si>
    <t>TRN-HJ40G8DH2IDE7BG39I5329FF3JDJ5095</t>
  </si>
  <si>
    <t>2025-10-13T14:49:16.166Z</t>
  </si>
  <si>
    <t>TRN-KJD93CJ1F95AFH6581G9H2HK4CI0DEAH</t>
  </si>
  <si>
    <t>2025-10-13T14:37:49.706Z</t>
  </si>
  <si>
    <t>v2xv_ynuI0k5Az-2eZIgo</t>
  </si>
  <si>
    <t>090405250922114416852096104706</t>
  </si>
  <si>
    <t>NIBSS:9016258289:OLAMMA  ANN  DANIELS:OLAMMA  ANN  Trf for Customer AT68 TRF2MPTc71k01970076675142791168:090405250922114416852096104706</t>
  </si>
  <si>
    <t>2025-09-22T10:45:27.896Z</t>
  </si>
  <si>
    <t>TRN-AnTOzlWyfN2bpyZlS29Cw</t>
  </si>
  <si>
    <t>000008260221190550550366372809</t>
  </si>
  <si>
    <t>FIADA VENTURES</t>
  </si>
  <si>
    <t>2026-02-21T18:05:40.823Z</t>
  </si>
  <si>
    <t>5AYrAY3gACPBBSBRMte04</t>
  </si>
  <si>
    <t>000018260219170223001769117419</t>
  </si>
  <si>
    <t>NIBSS:9019699648:AVOSEH ISRAEL OKANLAWON:MOBILEUNION Transfer from AVOSEH ISRAEL OKANLAWON  EASY VENTURES:000018260219170223001769117419</t>
  </si>
  <si>
    <t>2026-02-19T16:26:05.221Z</t>
  </si>
  <si>
    <t>TST-11/21/2025_2177</t>
  </si>
  <si>
    <t>2025-11-21T01:00:03.941Z</t>
  </si>
  <si>
    <t>W3xlPLsHnBjq_GgqeNo5q</t>
  </si>
  <si>
    <t>2025-11-20T13:28:35.119Z</t>
  </si>
  <si>
    <t>TRN-8JBI02K77189J9H445JF2C75B8BE1AI8</t>
  </si>
  <si>
    <t>2025-11-01T01:03:27.162Z</t>
  </si>
  <si>
    <t>TRN-00G85I1D023H8GD656503FG9751HC49I</t>
  </si>
  <si>
    <t>2025-10-27T08:50:41.477Z</t>
  </si>
  <si>
    <t>TJUZL7Q0TEijUEExSK-1l</t>
  </si>
  <si>
    <t>2025-10-23T19:07:02.375Z</t>
  </si>
  <si>
    <t>eLGwsn68yErj1kyV2jhjU</t>
  </si>
  <si>
    <t>2025-10-23T19:04:09.199Z</t>
  </si>
  <si>
    <t>xmcmQbI_FpGbskQt3u23h</t>
  </si>
  <si>
    <t>2025-10-23T19:02:26.028Z</t>
  </si>
  <si>
    <t>RDIEuWA_9iEIldAaLHEMk</t>
  </si>
  <si>
    <t>2025-10-23T18:59:39.108Z</t>
  </si>
  <si>
    <t>TST-10/23/2025_2177</t>
  </si>
  <si>
    <t>2025-10-23T01:00:03.317Z</t>
  </si>
  <si>
    <t>21FY3lnEPWqFpWa0iNcxj</t>
  </si>
  <si>
    <t>2025-10-22T18:25:59.934Z</t>
  </si>
  <si>
    <t>8eHQWPf8wlIodO8zw0kcG</t>
  </si>
  <si>
    <t>2025-10-22T18:24:03.047Z</t>
  </si>
  <si>
    <t>GWbXnYVydMT-M2_5Iz7RR</t>
  </si>
  <si>
    <t>2025-10-08T18:57:36.197Z</t>
  </si>
  <si>
    <t>TRN-E4F6IHK32JBF2H52720D9C193J7H42G8</t>
  </si>
  <si>
    <t>2025-10-08T18:48:25.823Z</t>
  </si>
  <si>
    <t>TST-12/07/2025_2207</t>
  </si>
  <si>
    <t xml:space="preserve">Spa Lavender </t>
  </si>
  <si>
    <t>BFS Settlement 12/6/2025</t>
  </si>
  <si>
    <t>2025-12-07T01:00:05.065Z</t>
  </si>
  <si>
    <t>a3YPxd2IKUpnhijIJ714N</t>
  </si>
  <si>
    <t>2025-12-06T17:18:40.127Z</t>
  </si>
  <si>
    <t>vd_fHyOuYofR0TV8SLU3G</t>
  </si>
  <si>
    <t>2025-12-06T14:13:12.524Z</t>
  </si>
  <si>
    <t>u0GPjb_L2HPfDHGy-FhXB</t>
  </si>
  <si>
    <t>2025-12-06T14:09:55.861Z</t>
  </si>
  <si>
    <t>TST-11/18/2025_2207</t>
  </si>
  <si>
    <t>2025-11-18T01:00:05.896Z</t>
  </si>
  <si>
    <t>3aquX8jzY7PLheFNJ0GXW</t>
  </si>
  <si>
    <t>2025-11-17T18:04:33.396Z</t>
  </si>
  <si>
    <t>K1H4J1-euvLHRrTTfSBmV</t>
  </si>
  <si>
    <t>2025-11-17T14:04:38.050Z</t>
  </si>
  <si>
    <t>TRN-C068H8C209JHA33CEKJC9H1BFH430F27</t>
  </si>
  <si>
    <t>2025-11-01T01:03:46.715Z</t>
  </si>
  <si>
    <t>TST-10/28/2025_2207</t>
  </si>
  <si>
    <t>2025-10-28T01:00:03.990Z</t>
  </si>
  <si>
    <t>MGOoN7SNmWdbIYe7Z7sQH</t>
  </si>
  <si>
    <t>100004251027170818143990903825</t>
  </si>
  <si>
    <t>NIBSS:9015943194:VICTORIA ABIMBOLA ISRAEL:Transfer from VICTORIA ABIMBOLA ISRAEL:100004251027170818143990903825</t>
  </si>
  <si>
    <t>2025-10-27T17:09:08.077Z</t>
  </si>
  <si>
    <t>GsJSW6Vb90fs5mUCK6ZOQ</t>
  </si>
  <si>
    <t>100004251027142956143978320378</t>
  </si>
  <si>
    <t>NIBSS:9015943194:VICTORIA ABIMBOLA ISRAEL:Transfer from VICTORIA ABIMBOLA ISRAEL:100004251027142956143978320378</t>
  </si>
  <si>
    <t>2025-10-27T14:30:59.378Z</t>
  </si>
  <si>
    <t>TST-10/19/2025_2207</t>
  </si>
  <si>
    <t>2025-10-19T01:00:02.991Z</t>
  </si>
  <si>
    <t>QQrVvixTriBBkgrsZAFgn</t>
  </si>
  <si>
    <t>100004251018162308143373038856</t>
  </si>
  <si>
    <t>NIBSS:9015943194:JOSEPH OLOKO OKO:Drinks:100004251018162308143373038856</t>
  </si>
  <si>
    <t>2025-10-18T16:24:34.361Z</t>
  </si>
  <si>
    <t>lZmnFJPoZMTElYGAEppW8</t>
  </si>
  <si>
    <t>100004251018161955143373498442</t>
  </si>
  <si>
    <t>NIBSS:9015943194:ADEBUKOLA TOLULOPE ADETOKUNBO:Transfer from ADEBUKOLA TOLULOPE ADETOKUNBO:100004251018161955143373498442</t>
  </si>
  <si>
    <t>2025-10-18T16:20:06.732Z</t>
  </si>
  <si>
    <t>MFn2gsl2VVrbkjJcOd71b</t>
  </si>
  <si>
    <t>100033251018161820395193561246</t>
  </si>
  <si>
    <t>NIBSS:9015943194:FAVOUR ONYEKACHI EMENIKE:FAVOUR ONYEKACHI EMENIKE 9130444331:100033251018161820395193561246</t>
  </si>
  <si>
    <t>2025-10-18T16:20:06.372Z</t>
  </si>
  <si>
    <t>4LeLtbC-17mp73uI3kRnd</t>
  </si>
  <si>
    <t>2025-10-18T12:05:41.641Z</t>
  </si>
  <si>
    <t>kUeNK5qwm1CX3RHVYvx3j</t>
  </si>
  <si>
    <t>2025-10-18T11:51:48.014Z</t>
  </si>
  <si>
    <t>XpAzqzOf3sh5c7pzO__W6</t>
  </si>
  <si>
    <t>000013251018072220000485876091</t>
  </si>
  <si>
    <t>NIBSS:9015943194:ANOSIKE VICTOR IFEANYICHUKWU:NIP Transfer to CBI-TECH - Spa Lavender Spa Lavender  0000132510180722:000013251018072220000485876091</t>
  </si>
  <si>
    <t>2025-10-18T06:23:22.826Z</t>
  </si>
  <si>
    <t>pzLs6fcDn7WMfTFulT_Ik</t>
  </si>
  <si>
    <t>100004251017194648143319464193</t>
  </si>
  <si>
    <t>NIBSS:9015943194:IKEDINOBI CHUKWUDI CHIBUEZE:Transfer from IKEDINOBI CHUKWUDI CHIBUEZE:100004251017194648143319464193</t>
  </si>
  <si>
    <t>2025-10-17T19:47:32.719Z</t>
  </si>
  <si>
    <t>Y_ZBX5x2cB1f342RfbwRq</t>
  </si>
  <si>
    <t>100006251017173637356945053567</t>
  </si>
  <si>
    <t>NIBSS:9015943194:JOHNNY KAY VENTURES:NXG  MOBILE TRF TO POB CBI  TECH   Spa L:100006251017173637356945053567</t>
  </si>
  <si>
    <t>2025-10-17T16:36:12.450Z</t>
  </si>
  <si>
    <t>KsOf-054IlkAkxw7yAOcK</t>
  </si>
  <si>
    <t>100006251017151024123535545259</t>
  </si>
  <si>
    <t>NIBSS:9015943194:EDWIN CHIGOZIE NWAGWU:NXG  MOBILE TRF TO POB CBI  TECH   Spa L:100006251017151024123535545259</t>
  </si>
  <si>
    <t>2025-10-17T14:10:08.476Z</t>
  </si>
  <si>
    <t>0eOsNJA5WKHbDkfd9hDXI</t>
  </si>
  <si>
    <t>090405251017095826851361203488</t>
  </si>
  <si>
    <t>NIBSS:9015943194:GLORIA CHIUGO MANAFA:GLORIA CHIUG Trf for Customer AT68 TRF2MPT762h71979109738568077312:090405251017095826851361203488</t>
  </si>
  <si>
    <t>2025-10-17T09:03:45.822Z</t>
  </si>
  <si>
    <t>YeFs3ZQNzypp1wfupYPiz</t>
  </si>
  <si>
    <t>100006251017095728854246138599</t>
  </si>
  <si>
    <t>NIBSS:9015943194:ELVIS UZODINMA OKWUEJIOFOR:NXG  MOBILE TRF TO POB CBI  TECH   Spa L:100006251017095728854246138599</t>
  </si>
  <si>
    <t>2025-10-17T08:58:07.284Z</t>
  </si>
  <si>
    <t>onPFS_yqzztw6z_4o700c</t>
  </si>
  <si>
    <t>100006251017095834654560557769</t>
  </si>
  <si>
    <t>NIBSS:9015943194:ELVIS UZODINMA OKWUEJIOFOR:NXG  MOBILE TRF TO POB CBI  TECH   Spa L:100006251017095834654560557769</t>
  </si>
  <si>
    <t>2025-10-17T08:58:07.227Z</t>
  </si>
  <si>
    <t>pidm3B2ZjdiI_NH2Z8ChV</t>
  </si>
  <si>
    <t>100006251016190907844169424465</t>
  </si>
  <si>
    <t>NIBSS:9015943194:BOLUWATIFE SAMUEL AKINSOLA:NXG  MOBILE TRF TO POB gym  CBI-TECH - S:100006251016190907844169424465</t>
  </si>
  <si>
    <t>2025-10-16T18:09:11.580Z</t>
  </si>
  <si>
    <t>xtJbwRTONtsqendeolUA-</t>
  </si>
  <si>
    <t>000013251016183811000482986817</t>
  </si>
  <si>
    <t>NIBSS:9015943194:OFILI  TRACY CHISOM:NIP Transfer to CBI-TECH - Spa Lavender Spa Lavender  0000132510161838:000013251016183811000482986817</t>
  </si>
  <si>
    <t>2025-10-16T17:39:18.159Z</t>
  </si>
  <si>
    <t>k4D8HktjjFLxJyswv55su</t>
  </si>
  <si>
    <t>000004251016181246489178485582</t>
  </si>
  <si>
    <t>MOB/UTO/CBI TECH   Spa/ndjdj/33456182005</t>
  </si>
  <si>
    <t>2025-10-16T17:13:09.071Z</t>
  </si>
  <si>
    <t>78uE2pdW_83gSf5lsd7t1</t>
  </si>
  <si>
    <t>090405251016171913358723028647</t>
  </si>
  <si>
    <t>NIBSS:9015943194:AGBAJE TEMITOPE:AGBAJE TEMITOPE to CBITECH  SPA LAVEN AT5 MFDS48220251016171912490847J:090405251016171913358723028647</t>
  </si>
  <si>
    <t>2025-10-16T16:19:25.523Z</t>
  </si>
  <si>
    <t>iOJghSO2NbQ3B_2Ny6Qdp</t>
  </si>
  <si>
    <t>100004251016143849143225542807</t>
  </si>
  <si>
    <t>NIBSS:9015943194:OLATUNJI OLAIDE BAMIDELE:Transfer from OLATUNJI OLAIDE BAMIDELE:100004251016143849143225542807</t>
  </si>
  <si>
    <t>2025-10-16T14:39:16.463Z</t>
  </si>
  <si>
    <t>CDX84woruypbb4w2YM5dA</t>
  </si>
  <si>
    <t>2025-10-16T10:36:18.908Z</t>
  </si>
  <si>
    <t>oy0pXRk1JYsu1tK2RpYkI</t>
  </si>
  <si>
    <t>2025-10-16T10:34:56.826Z</t>
  </si>
  <si>
    <t>PE6hVvNg3lU-1oQgvyUSG</t>
  </si>
  <si>
    <t>2025-10-16T10:34:01.725Z</t>
  </si>
  <si>
    <t>TRN-G6J75H5DBCHH35BB9B46D6BCI7F6H21H</t>
  </si>
  <si>
    <t>2025-10-16T10:29:58.366Z</t>
  </si>
  <si>
    <t>TRN-557F0I9CEGB5B3D6DA101G22875CCEK2</t>
  </si>
  <si>
    <t>2025-10-16T09:47:35.523Z</t>
  </si>
  <si>
    <t>TRN-36GC7ADFB804DI1GD1I9ECHD1D65779E</t>
  </si>
  <si>
    <t>OLA ALUBARIKA STORES</t>
  </si>
  <si>
    <t>2026-02-20T13:25:55.149Z</t>
  </si>
  <si>
    <t>TRN-26D2402CACHCC1D1HKC9468AE4A046HK</t>
  </si>
  <si>
    <t>transfer from master to 7god2327ys</t>
  </si>
  <si>
    <t>2026-02-20T13:15:09.300Z</t>
  </si>
  <si>
    <t>TRN-2279AF50AC91K3C0KCB9EA6GDB5ED6FA</t>
  </si>
  <si>
    <t>2026-02-20T13:15:09.290Z</t>
  </si>
  <si>
    <t>TST-02/20/2026_2236</t>
  </si>
  <si>
    <t>2026-02-20T01:00:10.302Z</t>
  </si>
  <si>
    <t>ozb6ywsIkVoDcnxzUEI8U</t>
  </si>
  <si>
    <t>090405260219133817523794296885</t>
  </si>
  <si>
    <t>NIBSS:9014862847:IFAYEMI JANET:IFAYEMI JANE Trf for Customer AT68 TRF2MPTelyh52024463546589999104:090405260219133817523794296885</t>
  </si>
  <si>
    <t>2026-02-19T12:39:04.259Z</t>
  </si>
  <si>
    <t>TRN-NvAJvuyewjkg9hiJhoDyO</t>
  </si>
  <si>
    <t>000008260219132451291827046007</t>
  </si>
  <si>
    <t>2026-02-19T12:24:43.713Z</t>
  </si>
  <si>
    <t>TST-02/19/2026_2236</t>
  </si>
  <si>
    <t>2026-02-19T01:00:09.291Z</t>
  </si>
  <si>
    <t>V6o160NTZ5G9rQHM3rWbI</t>
  </si>
  <si>
    <t>100004260218155436152678020678</t>
  </si>
  <si>
    <t>NIBSS:9014862847:KOMIYO MORAYO OMOTEHINSE:Transfer from KOMIYO MORAYO OMOTEHINSE:100004260218155436152678020678</t>
  </si>
  <si>
    <t>2026-02-18T15:55:03.791Z</t>
  </si>
  <si>
    <t>TRN-_CgiGlKOgLiIxBGFQb4Uk</t>
  </si>
  <si>
    <t>000008251215161350030024709308</t>
  </si>
  <si>
    <t>2025-12-15T15:13:39.359Z</t>
  </si>
  <si>
    <t>TRN-MFW9UerfUhPU50nrHKV7c</t>
  </si>
  <si>
    <t>2025-12-15T15:08:14.418Z</t>
  </si>
  <si>
    <t>TRN-noCjBl1CZRF47-QQrE1aZ</t>
  </si>
  <si>
    <t>000008251128120957597424024009</t>
  </si>
  <si>
    <t>2025-11-28T11:09:48.766Z</t>
  </si>
  <si>
    <t>TST-11/28/2025_2236</t>
  </si>
  <si>
    <t>2025-11-28T01:00:05.181Z</t>
  </si>
  <si>
    <t>6_2UH623XsOiqjEvH4pF_</t>
  </si>
  <si>
    <t>100033251127151031383487534479</t>
  </si>
  <si>
    <t>NIBSS:9014862847:ADEWALE PETER IDOWU:testinggggggg:100033251127151031383487534479</t>
  </si>
  <si>
    <t>2025-11-27T15:11:05.609Z</t>
  </si>
  <si>
    <t>lYWzZgqD4rOmGjFzYIej-</t>
  </si>
  <si>
    <t>2025-11-27T14:19:18.627Z</t>
  </si>
  <si>
    <t>TST-11/11/2025_2236</t>
  </si>
  <si>
    <t>2025-11-11T01:00:03.339Z</t>
  </si>
  <si>
    <t>xJzg8bE0HliPeMLz6-8Hy</t>
  </si>
  <si>
    <t>2025-11-10T08:59:19.247Z</t>
  </si>
  <si>
    <t>TRN-GI37K6EKG588AKG85CFB8EG68898CF1D</t>
  </si>
  <si>
    <t>2025-11-07T14:30:59.087Z</t>
  </si>
  <si>
    <t>TRN-76GG2AAA18BGG9CBHJEI29IC0503I2CF</t>
  </si>
  <si>
    <t>2025-11-06T20:00:10.108Z</t>
  </si>
  <si>
    <t>TRN-F0CHG697H62K7EK4891J9FFH2G116C03</t>
  </si>
  <si>
    <t xml:space="preserve">OSHINDARA VENTURES </t>
  </si>
  <si>
    <t>2025-11-01T19:22:10.642Z</t>
  </si>
  <si>
    <t>JPyvVLAZKvlo-gvfCdc3x</t>
  </si>
  <si>
    <t>2025-11-01T18:46:52.241Z</t>
  </si>
  <si>
    <t>PlCGjikkBiJMScwpFyiav</t>
  </si>
  <si>
    <t>2025-11-01T18:43:50.864Z</t>
  </si>
  <si>
    <t>TRN-90DFBI6DGH0I9K0IDF67KAKABC0J62FD</t>
  </si>
  <si>
    <t>2025-11-01T18:31:06.645Z</t>
  </si>
  <si>
    <t>ovTaedjTifm6CmyUtVOym</t>
  </si>
  <si>
    <t xml:space="preserve">DON ECUS MOBILE VENTURES </t>
  </si>
  <si>
    <t>2026-03-08T17:21:06.678Z</t>
  </si>
  <si>
    <t>TRN-a1kAl3xf2NkjfPp3FmQ4C</t>
  </si>
  <si>
    <t>000008260218202514114628718607</t>
  </si>
  <si>
    <t>2026-02-18T19:25:06.018Z</t>
  </si>
  <si>
    <t>TRN-gsHFm8MviBsT791C0j8uv</t>
  </si>
  <si>
    <t>2026-02-17T05:43:28.135Z</t>
  </si>
  <si>
    <t>TRN-kocv7s572MlhabvlrS8gQ</t>
  </si>
  <si>
    <t>2026-02-16T19:16:27.207Z</t>
  </si>
  <si>
    <t>Y-xGW_j7HbGyotfAzEHXd</t>
  </si>
  <si>
    <t>2026-02-16T18:33:07.827Z</t>
  </si>
  <si>
    <t>67EIT45BtMnrpSbmdB7xz</t>
  </si>
  <si>
    <t>2026-02-16T06:42:11.802Z</t>
  </si>
  <si>
    <t>0m41kX4wi-_rIIHc8sGiT</t>
  </si>
  <si>
    <t>100004260215222358152465588170</t>
  </si>
  <si>
    <t>NIBSS:9019937719:ISRAEL OKANLAWON AVOSEH:Transfer from Israel Okanlawon Avoseh:100004260215222358152465588170</t>
  </si>
  <si>
    <t>2026-02-15T22:25:10.426Z</t>
  </si>
  <si>
    <t>UEeAu-Ynw77ndk_7wKXmt</t>
  </si>
  <si>
    <t>2026-02-15T12:39:13.243Z</t>
  </si>
  <si>
    <t>dlY8vlieBukWycdsURW8b</t>
  </si>
  <si>
    <t>2026-02-15T12:37:23.500Z</t>
  </si>
  <si>
    <t>zeKunTnps1yV0ftwaMSAq</t>
  </si>
  <si>
    <t>2026-02-15T12:36:28.357Z</t>
  </si>
  <si>
    <t>OUN2BaEE_3PvlyC4jXREs</t>
  </si>
  <si>
    <t>100004260209204441151975612779</t>
  </si>
  <si>
    <t>NIBSS:9019937719:ISRAEL OKANLAWON AVOSEH:Transfer from Israel Okanlawon Avoseh:100004260209204441151975612779</t>
  </si>
  <si>
    <t>2026-02-09T20:45:04.988Z</t>
  </si>
  <si>
    <t>TST-02/01/2026_2138</t>
  </si>
  <si>
    <t>BFS Settlement 1/31/2026</t>
  </si>
  <si>
    <t>2026-02-01T01:00:06.336Z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</si>
  <si>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</si>
  <si>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</si>
  <si>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</si>
  <si>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</si>
  <si>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</si>
  <si>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</si>
  <si>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</si>
  <si>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</si>
  <si>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TST-01/29/2026_2138</t>
  </si>
  <si>
    <t>2026-01-29T01:00:08.784Z</t>
  </si>
  <si>
    <t>ouMZS5GJuUjXVBOoRbuh7</t>
  </si>
  <si>
    <t>2026-01-28T17:13:49.183Z</t>
  </si>
  <si>
    <t>C_dCnK2GTMPtiG6wg2IJl</t>
  </si>
  <si>
    <t>2026-01-28T16:29:15.394Z</t>
  </si>
  <si>
    <t>TST-01/22/2026_2138</t>
  </si>
  <si>
    <t>2026-01-22T01:00:07.854Z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</si>
  <si>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</si>
  <si>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</si>
  <si>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</si>
  <si>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</si>
  <si>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</si>
  <si>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</si>
  <si>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TST-01/20/2026_2138</t>
  </si>
  <si>
    <t>2026-01-20T01:00:07.719Z</t>
  </si>
  <si>
    <t>pZ2TxJbAb_PEHIcGShhtf</t>
  </si>
  <si>
    <t>2026-01-19T20:13:11.775Z</t>
  </si>
  <si>
    <t>68SzBeoJrTT3pg_XZqhQR</t>
  </si>
  <si>
    <t>2026-01-19T20:04:28.250Z</t>
  </si>
  <si>
    <t>9ZI0O3jayTntMdnCIvkAJ</t>
  </si>
  <si>
    <t>2026-01-19T18:59:01.791Z</t>
  </si>
  <si>
    <t>TEpvUhSFKkjXhhPU2TJ4K</t>
  </si>
  <si>
    <t>2026-01-19T12:02:25.593Z</t>
  </si>
  <si>
    <t>0dSoCT1xQ2LQNlNSN4mp0</t>
  </si>
  <si>
    <t>2026-01-19T08:35:48.590Z</t>
  </si>
  <si>
    <t>TST-01/14/2026_2138</t>
  </si>
  <si>
    <t>2026-01-14T01:00:06.460Z</t>
  </si>
  <si>
    <t>onLeWrZ5oVaa07eUjvzDx</t>
  </si>
  <si>
    <t>2026-01-13T11:45:01.962Z</t>
  </si>
  <si>
    <t>wpiUsubpGc2EBJAnXx64c</t>
  </si>
  <si>
    <t>2026-01-13T11:31:05.723Z</t>
  </si>
  <si>
    <t>TST-01/13/2026_2138</t>
  </si>
  <si>
    <t>2026-01-13T01:00:05.750Z</t>
  </si>
  <si>
    <t>isOLl5iBOwq7Gf01ViEge</t>
  </si>
  <si>
    <t>2026-01-12T10:36:05.544Z</t>
  </si>
  <si>
    <t>D-0dAfkwieOBuMQ56oqld</t>
  </si>
  <si>
    <t>2026-01-12T06:54:47.117Z</t>
  </si>
  <si>
    <t>TST-01/12/2026_2138</t>
  </si>
  <si>
    <t>2026-01-12T01:00:04.281Z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</si>
  <si>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</si>
  <si>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</si>
  <si>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</si>
  <si>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</si>
  <si>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</si>
  <si>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</si>
  <si>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TRN-D983KK57B3F94C1205902I61HI768FFF</t>
  </si>
  <si>
    <t>2026-01-10T08:49:03.391Z</t>
  </si>
  <si>
    <t>TRN-itkHU1X1JmDdlvkpzrkwo</t>
  </si>
  <si>
    <t>2601100933113040093</t>
  </si>
  <si>
    <t>2026-01-10T08:33:00.234Z</t>
  </si>
  <si>
    <t>TRN-GAK8E171GB71CFHAJCG926214BAEDB77</t>
  </si>
  <si>
    <t>transfer from master to r9eetnq90q</t>
  </si>
  <si>
    <t>2026-01-09T20:15:05.661Z</t>
  </si>
  <si>
    <t>TRN-HFD5AHJ465C4B788EHII19C08GDAAHK6</t>
  </si>
  <si>
    <t>2026-01-09T20:15:05.650Z</t>
  </si>
  <si>
    <t>TST-01/04/2026_2138</t>
  </si>
  <si>
    <t>2026-01-04T01:00:04.610Z</t>
  </si>
  <si>
    <t>wGX1WXChzHOIAqFODIhsF</t>
  </si>
  <si>
    <t>2026-01-03T19:08:34.969Z</t>
  </si>
  <si>
    <t>eAU6IHXqh51Gk6zBo67Ct</t>
  </si>
  <si>
    <t>2026-01-03T18:53:30.882Z</t>
  </si>
  <si>
    <t>JQHRlRpWu105VIigB8OA5</t>
  </si>
  <si>
    <t>2026-01-03T18:52:39.536Z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</si>
  <si>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</si>
  <si>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</si>
  <si>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</si>
  <si>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</si>
  <si>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</si>
  <si>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</si>
  <si>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</si>
  <si>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</si>
  <si>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</si>
  <si>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</si>
  <si>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</si>
  <si>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</si>
  <si>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</si>
  <si>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</si>
  <si>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8JutVzInBVqXQzgyZXtbI</t>
  </si>
  <si>
    <t>2026-01-03T08:44:28.537Z</t>
  </si>
  <si>
    <t>6rO9iLIyEycMyD4Yd5zx3</t>
  </si>
  <si>
    <t>2026-01-03T08:26:57.860Z</t>
  </si>
  <si>
    <t>TRN-pw7PR48LgH213HVwzaSj-</t>
  </si>
  <si>
    <t>2025-12-14T15:13:05.796Z</t>
  </si>
  <si>
    <t>TRN-6K6J1J5CBCF2J5IJJC576K4I3I6G74E6</t>
  </si>
  <si>
    <t>2025-11-01T01:03:00.575Z</t>
  </si>
  <si>
    <t>NWUzyq92GXaVqlfuRlPKh</t>
  </si>
  <si>
    <t>100004251002100303142234389983</t>
  </si>
  <si>
    <t>NIBSS:9019937719:ISRAEL OKANLAWON AVOSEH:Transfer from Israel Okanlawon Avoseh:100004251002100303142234389983</t>
  </si>
  <si>
    <t>2025-10-02T10:04:14.989Z</t>
  </si>
  <si>
    <t>TRN-0KJ7650IH7396IB3KFA03D9471AF99CC</t>
  </si>
  <si>
    <t>2025-10-01T19:22:39.610Z</t>
  </si>
  <si>
    <t>KWFvOknHYYT3kRBvgvi85</t>
  </si>
  <si>
    <t>2025-10-01T18:56:58.823Z</t>
  </si>
  <si>
    <t>TRN-44FJE769CD328CC7AI4IIF7JF77JIJ5B</t>
  </si>
  <si>
    <t>2025-10-01T18:47:44.159Z</t>
  </si>
  <si>
    <t>TRN-t2eZicC5L2EsOFjCoLYu1</t>
  </si>
  <si>
    <t>000008260213141709029360191509</t>
  </si>
  <si>
    <t xml:space="preserve">ISHOLA VENTURES </t>
  </si>
  <si>
    <t>2026-02-13T13:16:58.192Z</t>
  </si>
  <si>
    <t>8neb3SSypQv43XwyGDlBV</t>
  </si>
  <si>
    <t>2026-02-13T09:42:02.077Z</t>
  </si>
  <si>
    <t>TST-02/13/2026_2209</t>
  </si>
  <si>
    <t>2026-02-13T01:00:08.045Z</t>
  </si>
  <si>
    <t>kxonQHXzcUmkD59hZTKgQ</t>
  </si>
  <si>
    <t>2026-02-12T14:54:26.104Z</t>
  </si>
  <si>
    <t>ClNdlq9YwbH9B_jq2Lobz</t>
  </si>
  <si>
    <t>2026-02-12T14:53:17.130Z</t>
  </si>
  <si>
    <t>Mv8-9p4HvlepTRxqjk15t</t>
  </si>
  <si>
    <t>2026-02-12T14:47:22.044Z</t>
  </si>
  <si>
    <t>wtG49wiUjCGcWvH2NCxE8</t>
  </si>
  <si>
    <t>2026-02-12T08:22:24.487Z</t>
  </si>
  <si>
    <t>kqVg8QD5uR80lCLvTO-NP</t>
  </si>
  <si>
    <t>2026-02-12T08:21:37.429Z</t>
  </si>
  <si>
    <t>NaZWZX29qnYY5v43RehWE</t>
  </si>
  <si>
    <t>2026-02-12T08:20:46.920Z</t>
  </si>
  <si>
    <t>0Dg9u7g09I06pek4y0xq6</t>
  </si>
  <si>
    <t>2026-02-12T08:18:53.149Z</t>
  </si>
  <si>
    <t>VsAFtFapNg6zzyhwatQDU</t>
  </si>
  <si>
    <t>2026-02-12T08:11:43.901Z</t>
  </si>
  <si>
    <t>qJALThX8B4M9m0p8SwEVV</t>
  </si>
  <si>
    <t>2026-02-12T08:04:09.603Z</t>
  </si>
  <si>
    <t>TST-02/11/2026_2209</t>
  </si>
  <si>
    <t>2026-02-11T01:00:09.081Z</t>
  </si>
  <si>
    <t>YYI-Soac7HOO02BPiWybi</t>
  </si>
  <si>
    <t>000018260210220218001604010791</t>
  </si>
  <si>
    <t>NIBSS:9014815474:AVOSEH ISRAEL OKANLAWON:MOBILEUNION Transfer from AVOSEH ISRAEL OKANLAWON  test transaction:000018260210220218001604010791</t>
  </si>
  <si>
    <t>2026-02-10T21:05:04.427Z</t>
  </si>
  <si>
    <t>DTIIbpPnEhbsWVgE_QfTx</t>
  </si>
  <si>
    <t>2026-02-10T20:56:40.170Z</t>
  </si>
  <si>
    <t>1mfqiF1OPqNVem_e_JlJJ</t>
  </si>
  <si>
    <t>2026-02-10T20:55:42.002Z</t>
  </si>
  <si>
    <t>gJueTZEJmxRYtTccdKQdc</t>
  </si>
  <si>
    <t>2026-02-10T20:52:16.235Z</t>
  </si>
  <si>
    <t>as6WxqM7jkNYpwyPLuFqq</t>
  </si>
  <si>
    <t>2026-02-10T20:50:10.635Z</t>
  </si>
  <si>
    <t>df6TkVDT7LoVs8pSdPX_1</t>
  </si>
  <si>
    <t>2026-02-10T20:44:08.410Z</t>
  </si>
  <si>
    <t>xj9NGysOQTRbX375KwTu7</t>
  </si>
  <si>
    <t>2026-02-10T20:41:49.827Z</t>
  </si>
  <si>
    <t>bHSWi2S7QVeMmLHICB5YW</t>
  </si>
  <si>
    <t>2026-02-10T16:22:13.850Z</t>
  </si>
  <si>
    <t>SfPsAJ51guG54pDn5_ni_</t>
  </si>
  <si>
    <t>2026-02-10T13:35:29.196Z</t>
  </si>
  <si>
    <t>TST-02/10/2026_2209</t>
  </si>
  <si>
    <t>2026-02-10T01:00:07.652Z</t>
  </si>
  <si>
    <t>RyjFWdBCK04UbgChGLOPr</t>
  </si>
  <si>
    <t>100004260209204343151974333342</t>
  </si>
  <si>
    <t>NIBSS:9014815474:ISRAEL OKANLAWON AVOSEH:Transfer from Israel Okanlawon Avoseh:100004260209204343151974333342</t>
  </si>
  <si>
    <t>2026-02-09T20:44:04.768Z</t>
  </si>
  <si>
    <t>TRN-6HFF8HHA2E59D4JE5CH6D771BG1B1KB7</t>
  </si>
  <si>
    <t>2025-11-01T01:03:47.413Z</t>
  </si>
  <si>
    <t>TRN-I7YkhHzUWZ2-7IXFPrulL</t>
  </si>
  <si>
    <t>2510211701301453333</t>
  </si>
  <si>
    <t>2025-10-21T16:01:19.305Z</t>
  </si>
  <si>
    <t>TRN-3GH1720DJEEGB1KGF737J76FA31IGG3C</t>
  </si>
  <si>
    <t>2025-10-21T15:53:23.713Z</t>
  </si>
  <si>
    <t>wIam-ub8oBODZrB62iDOD</t>
  </si>
  <si>
    <t>2025-10-18T14:00:17.663Z</t>
  </si>
  <si>
    <t>k8BrQEJFUn-tTVgBNAuLu</t>
  </si>
  <si>
    <t>2025-10-18T13:58:20.063Z</t>
  </si>
  <si>
    <t>Jh5t-MxQb1hllXNoXe4Kk</t>
  </si>
  <si>
    <t>2025-10-17T15:31:29.893Z</t>
  </si>
  <si>
    <t>VjERpjfUhgiummDtkYRrI</t>
  </si>
  <si>
    <t>2025-10-17T15:16:49.582Z</t>
  </si>
  <si>
    <t>v_dONztHFByxPOVkXaAML</t>
  </si>
  <si>
    <t>100004251017121101143283772906</t>
  </si>
  <si>
    <t>NIBSS:9014815474:ISRAEL OKANLAWON AVOSEH:Transfer from Israel Okanlawon Avoseh:100004251017121101143283772906</t>
  </si>
  <si>
    <t>2025-10-17T12:15:40.034Z</t>
  </si>
  <si>
    <t>mjshDjUrKqYFIqqZGne7u</t>
  </si>
  <si>
    <t>2025-10-17T11:58:18.653Z</t>
  </si>
  <si>
    <t>kEDTmzAueczPxThpxGmWc</t>
  </si>
  <si>
    <t>2025-10-17T11:53:53.913Z</t>
  </si>
  <si>
    <t>TRN-21HED2C163GEKJBCBJFK969K60DC5633</t>
  </si>
  <si>
    <t>2025-10-17T11:46:41.581Z</t>
  </si>
  <si>
    <t>TST-02/26/2026_2279</t>
  </si>
  <si>
    <t>Kome Ltd</t>
  </si>
  <si>
    <t>2026-02-26T01:00:17.524Z</t>
  </si>
  <si>
    <t>TCH-QDdITD0l4</t>
  </si>
  <si>
    <t>payment_collection</t>
  </si>
  <si>
    <t>CARD: TCH-QDdITD0l4</t>
  </si>
  <si>
    <t>8.546249999999999</t>
  </si>
  <si>
    <t>3.9749999999999996</t>
  </si>
  <si>
    <t>2026-02-25T19:51:22.578Z</t>
  </si>
  <si>
    <t>TRN-KC1B6CJKK4KB21G4B562GF2GCK573F9K</t>
  </si>
  <si>
    <t>2026-02-10T21:35:05.993Z</t>
  </si>
  <si>
    <t>acJtk8cAR9tFVO0uERFKm</t>
  </si>
  <si>
    <t>100004260210213007152060472605</t>
  </si>
  <si>
    <t>NIBSS:9018375896:OGHENEKOME MARY EDAWARE:Transfer from OGHENEKOME MARY EDAWARE:100004260210213007152060472605</t>
  </si>
  <si>
    <t>2026-02-10T21:31:03.600Z</t>
  </si>
  <si>
    <t>TRN-NmtBG_LqQaOsGnkhAkylE</t>
  </si>
  <si>
    <t>000008260210222533133624964609</t>
  </si>
  <si>
    <t>2026-02-10T21:25:25.605Z</t>
  </si>
  <si>
    <t>HB6w0hvUmDZ-fe_3aHOek</t>
  </si>
  <si>
    <t>100004260129091122151011831810</t>
  </si>
  <si>
    <t>NIBSS:9012014877:OGHENEKOME MARY EDAWARE:Transfer from OGHENEKOME MARY EDAWARE:100004260129091122151011831810</t>
  </si>
  <si>
    <t>2026-01-29T09:12:06.384Z</t>
  </si>
  <si>
    <t>KHEBFAwpls-ffJKQCa7t8</t>
  </si>
  <si>
    <t>100004260129090629151011692388</t>
  </si>
  <si>
    <t>NIBSS:9012014877:OGHENEKOME MARY EDAWARE:Transfer from OGHENEKOME MARY EDAWARE:100004260129090629151011692388</t>
  </si>
  <si>
    <t>2026-01-29T09:07:05.235Z</t>
  </si>
  <si>
    <t>TRN-0845H5DABEH1E5AEIEEG2GDEHI90H64B</t>
  </si>
  <si>
    <t>transfer from master to 2t4nj3gdoy</t>
  </si>
  <si>
    <t>2026-01-27T06:42:22.523Z</t>
  </si>
  <si>
    <t>TRN-41IBH9EA1CB5BF5CEJ99I73C9158KA62</t>
  </si>
  <si>
    <t>2026-01-27T06:42:22.520Z</t>
  </si>
  <si>
    <t>bYLkNxpBIN4EdhONBtlBy</t>
  </si>
  <si>
    <t>100004251127135327146250069173</t>
  </si>
  <si>
    <t>NIBSS:9012014877:OGHENEKOME MARY EDAWARE:Transfer from OGHENEKOME MARY EDAWARE:100004251127135327146250069173</t>
  </si>
  <si>
    <t>2025-11-27T13:54:06.388Z</t>
  </si>
  <si>
    <t>TRN-_egSPKxUqfAyJXkPa3UfN</t>
  </si>
  <si>
    <t>2511201956159537773</t>
  </si>
  <si>
    <t>2025-11-20T18:56:06.846Z</t>
  </si>
  <si>
    <t>TST-11/12/2025_2278</t>
  </si>
  <si>
    <t>2025-11-12T01:00:05.378Z</t>
  </si>
  <si>
    <t>TCH-23oZzgu0Q</t>
  </si>
  <si>
    <t>CARD: TCH-23oZzgu0Q</t>
  </si>
  <si>
    <t>2025-11-11T20:34:40.889Z</t>
  </si>
  <si>
    <t>TRN-5IKAA4BEBAAK160EHJJ65A76790JE9BE</t>
  </si>
  <si>
    <t>2025-11-07T14:16:58.115Z</t>
  </si>
  <si>
    <t>TCH-SK8ROx4Xx</t>
  </si>
  <si>
    <t>CARD: TCH-SK8ROx4Xx</t>
  </si>
  <si>
    <t>0.6749999999999999</t>
  </si>
  <si>
    <t>2025-11-07T13:35:01.977Z</t>
  </si>
  <si>
    <t>rNoypMpTwlUgw7C2yPYW4</t>
  </si>
  <si>
    <t>100004251107132839144786062633</t>
  </si>
  <si>
    <t>NIBSS:9012014877:OGHENEKOME MARY EDAWARE:Transfer from OGHENEKOME MARY EDAWARE:100004251107132839144786062633</t>
  </si>
  <si>
    <t>2025-11-07T13:31:05.844Z</t>
  </si>
  <si>
    <t>TRN-i7vmRhzwXuB_YwE7I9eFL</t>
  </si>
  <si>
    <t>000008260130113631791600026608</t>
  </si>
  <si>
    <t xml:space="preserve">SHANU OLUWASEGUN </t>
  </si>
  <si>
    <t>1.7249999999999999</t>
  </si>
  <si>
    <t>2026-01-30T10:36:22.987Z</t>
  </si>
  <si>
    <t>TRN-B511CBD5J580JJIC79D75FKF5JF036AG</t>
  </si>
  <si>
    <t>2026-01-29T09:29:45.863Z</t>
  </si>
  <si>
    <t>gnvHpX_42wyaCuCHA3l9K</t>
  </si>
  <si>
    <t>100004260129092006151013861735</t>
  </si>
  <si>
    <t>NIBSS:9010602314:OLUWASEGUN MOHAMMED SHANU:test:100004260129092006151013861735</t>
  </si>
  <si>
    <t>2026-01-29T09:21:04.266Z</t>
  </si>
  <si>
    <t>TRN-8E01214K0E775EF21A95JE3J7H1K6HJC</t>
  </si>
  <si>
    <t>2026-01-29T09:05:58.557Z</t>
  </si>
  <si>
    <t>TRN-40J3CF7C4ACCCB5K5CAAC8C1F84GF6ID</t>
  </si>
  <si>
    <t>2026-01-29T09:02:06.114Z</t>
  </si>
  <si>
    <t>TRN-7I93F74IKDB907C0K2B7E01I8B06B06I</t>
  </si>
  <si>
    <t>transfer from master to vjsir0ey2y</t>
  </si>
  <si>
    <t>2026-01-29T09:00:13.768Z</t>
  </si>
  <si>
    <t>TRN-K209101160D1AC2398DD545A69FG9I6E</t>
  </si>
  <si>
    <t>2026-01-29T09:00:13.764Z</t>
  </si>
  <si>
    <t>TRN-KCJKJ4J02KI9BI9CEJI26K1C65A43247</t>
  </si>
  <si>
    <t>2026-01-29T08:54:48.431Z</t>
  </si>
  <si>
    <t>TRN-7F462IDCFGDI4DKG8F3EK3EGEH67401A</t>
  </si>
  <si>
    <t>2026-01-29T08:50:29.809Z</t>
  </si>
  <si>
    <t>TRN-94A8DA42E9C5DJ0DBE624K2CJBDI1F55</t>
  </si>
  <si>
    <t>2026-01-29T08:44:38.583Z</t>
  </si>
  <si>
    <t>TRN-JmHOPsyd0Rhv5ReyZo5XX</t>
  </si>
  <si>
    <t>2026-01-29T08:42:33.927Z</t>
  </si>
  <si>
    <t>TST-12/09/2025_1763</t>
  </si>
  <si>
    <t>2025-12-09T07:16:53.775Z</t>
  </si>
  <si>
    <t>GHch9F00uNyaZuQilmqPO</t>
  </si>
  <si>
    <t>000016251208124345001113009493</t>
  </si>
  <si>
    <t>NIBSS:9019953892:AWOYINKA ADETOKUNBOH GABRIEL:FIP MB  AWOYINKA ADETOKUNB CBI TECH   SHANU OLUWASEGUN TESTING CBI-TEC:000016251208124345001113009493</t>
  </si>
  <si>
    <t>2025-12-08T11:44:06.317Z</t>
  </si>
  <si>
    <t>j6mEwISfMDbSbCOTzEehB</t>
  </si>
  <si>
    <t>2025-12-08T11:27:10.020Z</t>
  </si>
  <si>
    <t>TST-12/03/2025_1763</t>
  </si>
  <si>
    <t>2025-12-03T01:00:08.811Z</t>
  </si>
  <si>
    <t>UmiPDAXCkeT2F0g1aqNRj</t>
  </si>
  <si>
    <t>2025-12-02T15:11:33.420Z</t>
  </si>
  <si>
    <t>mQ0By-hrlhAKjgfXBJ-xy</t>
  </si>
  <si>
    <t>2025-12-02T14:39:52.559Z</t>
  </si>
  <si>
    <t>TST-12/02/2025_1763</t>
  </si>
  <si>
    <t>2025-12-02T01:00:08.879Z</t>
  </si>
  <si>
    <t>gdvf56YY2vasli8KiiX8b</t>
  </si>
  <si>
    <t>100004251201143413146564962661</t>
  </si>
  <si>
    <t>NIBSS:9019953892:OLUWASEGUN MOHAMMED SHANU:Transfer from OLUWASEGUN MOHAMMED SHANU:100004251201143413146564962661</t>
  </si>
  <si>
    <t>2025-12-01T14:35:04.087Z</t>
  </si>
  <si>
    <t>MyOXr-iMsXB8a-cgANHq8</t>
  </si>
  <si>
    <t>100004251201142700146562845016</t>
  </si>
  <si>
    <t>NIBSS:9011105104:OLUWASEGUN MOHAMMED SHANU:Transfer from OLUWASEGUN MOHAMMED SHANU:100004251201142700146562845016</t>
  </si>
  <si>
    <t>2025-12-01T14:28:04.527Z</t>
  </si>
  <si>
    <t>SFIleFRLshTnBlkT-z7ii</t>
  </si>
  <si>
    <t>2025-12-01T14:25:47.041Z</t>
  </si>
  <si>
    <t>TST-11/29/2025_1763</t>
  </si>
  <si>
    <t>2025-11-29T01:00:04.833Z</t>
  </si>
  <si>
    <t>8N_NjhrBTz79S4b6rPC0P</t>
  </si>
  <si>
    <t>2025-11-28T15:25:44.041Z</t>
  </si>
  <si>
    <t>MFxgquKUK3YmPJdztAlR0</t>
  </si>
  <si>
    <t>2025-11-28T15:17:36.397Z</t>
  </si>
  <si>
    <t>aa_erMk1O9W5qy2PTUF4o</t>
  </si>
  <si>
    <t>2025-11-28T15:08:30.199Z</t>
  </si>
  <si>
    <t>kTEhmo_2php8IxpfTLNQu</t>
  </si>
  <si>
    <t>2025-11-28T14:46:31.939Z</t>
  </si>
  <si>
    <t>yTFUNSCmj_UP9lHpT0OaB</t>
  </si>
  <si>
    <t>2025-11-28T14:12:39.294Z</t>
  </si>
  <si>
    <t>NYEoRF8tShtdrLwbTUWkg</t>
  </si>
  <si>
    <t>2025-11-28T14:04:21.696Z</t>
  </si>
  <si>
    <t>Z9SF9W6KjDsAt7l6MSNok</t>
  </si>
  <si>
    <t>2025-11-28T13:27:58.288Z</t>
  </si>
  <si>
    <t>mtc1J8BF7StJU1hm3xSOQ</t>
  </si>
  <si>
    <t>2025-11-28T13:19:24.743Z</t>
  </si>
  <si>
    <t>TRN-9D73HE0CF65K5193A8E7DAKI2A72CI31</t>
  </si>
  <si>
    <t>2025-11-01T01:03:45.094Z</t>
  </si>
  <si>
    <t>TST-10/22/2025_1763</t>
  </si>
  <si>
    <t>2025-10-22T01:00:04.772Z</t>
  </si>
  <si>
    <t>7koe1NXH7gFk2LCYpUkaB</t>
  </si>
  <si>
    <t>2025-10-21T09:48:10.123Z</t>
  </si>
  <si>
    <t>TST-10/18/2025_1763</t>
  </si>
  <si>
    <t>2025-10-18T01:00:06.209Z</t>
  </si>
  <si>
    <t>ulrznnv_Oktxt5yRfZynO</t>
  </si>
  <si>
    <t>2025-10-17T15:44:21.931Z</t>
  </si>
  <si>
    <t>RZToLeswivQuYSZ7UuD3e</t>
  </si>
  <si>
    <t>2025-10-17T15:43:48.252Z</t>
  </si>
  <si>
    <t>qAWyNXBmU4GPbrKti2Msn</t>
  </si>
  <si>
    <t>2025-10-17T15:39:13.872Z</t>
  </si>
  <si>
    <t>axvoGsu9WTD_okDSIJco8</t>
  </si>
  <si>
    <t>2025-10-17T11:43:04.111Z</t>
  </si>
  <si>
    <t>U5Ku0BSlyJ0x1OhslUnO1</t>
  </si>
  <si>
    <t>2025-10-17T11:40:58.945Z</t>
  </si>
  <si>
    <t>TRN-A87DDGH2JAEA3A54J3518A01075150ID</t>
  </si>
  <si>
    <t>2025-10-01T01:03:48.697Z</t>
  </si>
  <si>
    <t>TRN-854FFGIBB59I3H8I94C43DF6960H2659</t>
  </si>
  <si>
    <t>2025-09-23T10:08:09.120Z</t>
  </si>
  <si>
    <t>TRN-6D7EAHD5FFK9K1D1C771DF8A9995I18E</t>
  </si>
  <si>
    <t>2025-09-22T13:10:04.891Z</t>
  </si>
  <si>
    <t>TRN-510IE92J8K0JC450KJI45ICGIJFA9ID9</t>
  </si>
  <si>
    <t>2025-09-22T13:10:04.890Z</t>
  </si>
  <si>
    <t>TRN-3698FHKAE16J28AE3FAEJEFHC8HBBD25</t>
  </si>
  <si>
    <t>2025-09-22T13:07:58.438Z</t>
  </si>
  <si>
    <t>TRN-2IA9I7B69F5B1I1BDCHEB9A39JF6A22G</t>
  </si>
  <si>
    <t>2025-09-22T13:07:58.436Z</t>
  </si>
  <si>
    <t>TRN-36KD2FK03HIG3582B32E69A2F1JAHFH1</t>
  </si>
  <si>
    <t>2025-09-18T14:21:54.719Z</t>
  </si>
  <si>
    <t>TRN-IWSIhyvz_ObHOM6orRfbV</t>
  </si>
  <si>
    <t>000008250911143824304317336608</t>
  </si>
  <si>
    <t>2025-09-11T13:38:14.305Z</t>
  </si>
  <si>
    <t>TST-09/10/2025_1763</t>
  </si>
  <si>
    <t>BFS Settlement 9/9/2025</t>
  </si>
  <si>
    <t>2025-09-10T01:00:03.892Z</t>
  </si>
  <si>
    <t>hUC7guMEaFhRY2DW9Ahgg</t>
  </si>
  <si>
    <t>1.8812499999999996</t>
  </si>
  <si>
    <t>2025-09-09T15:54:32.084Z</t>
  </si>
  <si>
    <t>TST-09/03/2025_1763</t>
  </si>
  <si>
    <t>BFS Settlement 9/2/2025</t>
  </si>
  <si>
    <t>2025-09-03T01:00:04.837Z</t>
  </si>
  <si>
    <t>lm7qeIekFvuRUKlHTcDlF</t>
  </si>
  <si>
    <t>000013250902135147000388445475</t>
  </si>
  <si>
    <t>NIBSS:9011105104:OKHIRIA BUKOLA JULIANA:NIP Transfer to CBI-TECH - Peter Idowu  000013250902135147000388445475:000013250902135147000388445475</t>
  </si>
  <si>
    <t>2025-09-02T12:52:05.029Z</t>
  </si>
  <si>
    <t>pmb8KrNkjpb-sBikQ-eyN</t>
  </si>
  <si>
    <t>3.7624999999999993</t>
  </si>
  <si>
    <t>2025-09-02T12:28:46.116Z</t>
  </si>
  <si>
    <t>a0E6fkhL2GbQcrT3ZLAbD</t>
  </si>
  <si>
    <t>2025-09-02T09:30:59.591Z</t>
  </si>
  <si>
    <t>4q-KhSHXp3f1Jt_j9qm9-</t>
  </si>
  <si>
    <t>2025-09-02T09:30:24.705Z</t>
  </si>
  <si>
    <t>TRN-37F9GE9KI11EH11G5A0BI3J0B4J23B8K</t>
  </si>
  <si>
    <t>Wallet Service Charge for the month ending Sun Aug 31 2025</t>
  </si>
  <si>
    <t>2025-09-01T01:05:59.734Z</t>
  </si>
  <si>
    <t>TST-08/22/2025_1763</t>
  </si>
  <si>
    <t>BFS Settlement 8/21/2025</t>
  </si>
  <si>
    <t>2025-08-22T01:00:03.743Z</t>
  </si>
  <si>
    <t>TRN-FFC0CFAHGECAB4FAC9DK1F0IA92A5J6B</t>
  </si>
  <si>
    <t>2025-08-21T15:59:57.635Z</t>
  </si>
  <si>
    <t>TRN-P_iiwcS_la924R1rWvT_1</t>
  </si>
  <si>
    <t>000008250821165317997139123007</t>
  </si>
  <si>
    <t>2025-08-21T15:53:06.047Z</t>
  </si>
  <si>
    <t>TRN-6EBK7CA2A3A2KJDBA80BAI9KDDFK08F8</t>
  </si>
  <si>
    <t>2025-08-21T15:48:02.680Z</t>
  </si>
  <si>
    <t>LtHUYKEfNHr_9HBZB_cxG</t>
  </si>
  <si>
    <t>2025-08-21T15:33:45.141Z</t>
  </si>
  <si>
    <t>TRN-D2H8KHI7A7CBGCK3B2H75G6K0C38FG95</t>
  </si>
  <si>
    <t>2025-08-21T15:30:52.693Z</t>
  </si>
  <si>
    <t>TRN-5E1ID5CH9JCBE5GGFHC36C3JKB189447</t>
  </si>
  <si>
    <t>2025-08-21T15:26:28.563Z</t>
  </si>
  <si>
    <t>TCH-StVX-ugdH</t>
  </si>
  <si>
    <t>CARD: TCH-StVX-ugdH</t>
  </si>
  <si>
    <t>2025-08-21T10:04:10.630Z</t>
  </si>
  <si>
    <t>TST-08/20/2025_1763</t>
  </si>
  <si>
    <t>BFS Settlement 8/19/2025</t>
  </si>
  <si>
    <t>2025-08-20T01:00:03.713Z</t>
  </si>
  <si>
    <t>mblJSUbA3g-nLU8Rt5ZRH</t>
  </si>
  <si>
    <t>2025-08-19T11:34:09.361Z</t>
  </si>
  <si>
    <t>TST-08/16/2025_1763</t>
  </si>
  <si>
    <t>BFS Settlement 8/15/2025</t>
  </si>
  <si>
    <t>2025-08-16T01:00:03.860Z</t>
  </si>
  <si>
    <t>8zne_4jgS3OAT5YDo2nt7</t>
  </si>
  <si>
    <t>2.6337499999999996</t>
  </si>
  <si>
    <t>2025-08-15T15:00:58.105Z</t>
  </si>
  <si>
    <t>j8QN0KB4FaK9qPYr0nKsr</t>
  </si>
  <si>
    <t>2025-08-15T15:00:05.128Z</t>
  </si>
  <si>
    <t>sNuG-fYz6jwpTYWAoraXe</t>
  </si>
  <si>
    <t>2025-08-15T14:59:16.991Z</t>
  </si>
  <si>
    <t>TRN-CC4JE4GF92I4J2J9K7FK960GK49K8HD6</t>
  </si>
  <si>
    <t>2025-08-15T14:45:39.009Z</t>
  </si>
  <si>
    <t>TRN-8DK6CD8587GC8HEJHA7IFJJFCGHCK16H</t>
  </si>
  <si>
    <t>2025-08-15T12:55:20.769Z</t>
  </si>
  <si>
    <t>TRN-5DC99DKGB4H7G3A99GH5FAE4CDC573B3</t>
  </si>
  <si>
    <t>2025-08-15T12:54:04.340Z</t>
  </si>
  <si>
    <t>TRN-0F0G3194JGD9CJD6H41D26B1FG98G65D</t>
  </si>
  <si>
    <t>2025-08-15T12:54:04.337Z</t>
  </si>
  <si>
    <t>TRN--EWz07P2FGvFXcNrnGZ_z</t>
  </si>
  <si>
    <t>2025-08-15T12:45:28.364Z</t>
  </si>
  <si>
    <t>TST-08/15/2025_1763</t>
  </si>
  <si>
    <t>BFS Settlement 8/14/2025</t>
  </si>
  <si>
    <t>2025-08-15T01:00:04.014Z</t>
  </si>
  <si>
    <t>_BYAYAOWn3_KyR3VwikkK</t>
  </si>
  <si>
    <t>2025-08-14T15:39:33.748Z</t>
  </si>
  <si>
    <t>msdhsby-_EUPmVV_WcBj_</t>
  </si>
  <si>
    <t>2025-08-14T15:36:00.387Z</t>
  </si>
  <si>
    <t>aZmL2MbmWPSkFYAVgYtds</t>
  </si>
  <si>
    <t>2025-08-14T14:58:06.154Z</t>
  </si>
  <si>
    <t>6knwVLn4GdKCbbys4kxfC</t>
  </si>
  <si>
    <t>2025-08-14T14:48:03.766Z</t>
  </si>
  <si>
    <t>wSrsf8ABNUNkohnQhJfKr</t>
  </si>
  <si>
    <t>2025-08-14T14:47:29.299Z</t>
  </si>
  <si>
    <t>cWy2xRsMFKwpXgK9aF9Bd</t>
  </si>
  <si>
    <t>2025-08-14T14:45:53.005Z</t>
  </si>
  <si>
    <t>or8HJgdqAqzGfg7N-t6L4</t>
  </si>
  <si>
    <t>100004250814140126139006491187</t>
  </si>
  <si>
    <t>NIBSS:9019953892:OLUWASEGUN MOHAMMED SHANU:Transfer from OLUWASEGUN MOHAMMED SHANU:100004250814140126139006491187</t>
  </si>
  <si>
    <t>2025-08-14T14:02:06.642Z</t>
  </si>
  <si>
    <t>H0XYb2_tahOAyTrx672U0</t>
  </si>
  <si>
    <t>2025-08-14T13:36:18.740Z</t>
  </si>
  <si>
    <t>euH0cV85wAxlQvIqDBHrJ</t>
  </si>
  <si>
    <t>2025-08-14T12:39:59.077Z</t>
  </si>
  <si>
    <t>0MKFWhRMGpK4FwzAqHEoC</t>
  </si>
  <si>
    <t>2025-08-14T12:39:16.996Z</t>
  </si>
  <si>
    <t>VD7t3t871x8wtW_fnb76S</t>
  </si>
  <si>
    <t>2025-08-14T12:38:19.059Z</t>
  </si>
  <si>
    <t>TST-08/09/2025_1763</t>
  </si>
  <si>
    <t>BFS Settlement 8/8/2025</t>
  </si>
  <si>
    <t>2025-08-09T01:00:03.858Z</t>
  </si>
  <si>
    <t>k4NsC-5iiRAKfjtZQTTPz</t>
  </si>
  <si>
    <t>2025-08-08T11:32:59.352Z</t>
  </si>
  <si>
    <t>fIkyal7JeDJdKF8ePsO8F</t>
  </si>
  <si>
    <t>2025-08-08T11:32:18.762Z</t>
  </si>
  <si>
    <t>VPgt7E2bQWtY-X73RVqHZ</t>
  </si>
  <si>
    <t>2025-08-08T11:31:36.629Z</t>
  </si>
  <si>
    <t>pbYpZ6M_yWA8nQTpTQVzw</t>
  </si>
  <si>
    <t>2025-08-08T11:25:04.061Z</t>
  </si>
  <si>
    <t>6eGK3yGXYzv9HqsHqFnP-</t>
  </si>
  <si>
    <t>2025-08-08T11:24:18.785Z</t>
  </si>
  <si>
    <t>RMJ3Pw8qG15px0nWRf5Ko</t>
  </si>
  <si>
    <t>2025-08-08T10:41:07.255Z</t>
  </si>
  <si>
    <t>PeN3SfNOa5MrHZvMiABWM</t>
  </si>
  <si>
    <t>2025-08-08T07:38:29.477Z</t>
  </si>
  <si>
    <t>PrSAyOhYRuwg_V31853qA</t>
  </si>
  <si>
    <t>2025-08-08T07:37:53.121Z</t>
  </si>
  <si>
    <t>TST-08/08/2025_1763</t>
  </si>
  <si>
    <t>BFS Settlement 8/7/2025</t>
  </si>
  <si>
    <t>2025-08-08T01:00:04.453Z</t>
  </si>
  <si>
    <t>jRhuU5InRsl4ed7z1tNik</t>
  </si>
  <si>
    <t>2025-08-07T16:12:54.149Z</t>
  </si>
  <si>
    <t>J9O1Umucgio-8J9nzdFvx</t>
  </si>
  <si>
    <t>2025-08-07T15:54:58.946Z</t>
  </si>
  <si>
    <t>dJFrpQsjjJhnNMLEWa-5_</t>
  </si>
  <si>
    <t>2025-08-07T15:36:55.854Z</t>
  </si>
  <si>
    <t>TRN-NwgvIsDVo6Kzh__Sph14C</t>
  </si>
  <si>
    <t>000008250807144320600827559108</t>
  </si>
  <si>
    <t>2025-08-07T13:43:12.384Z</t>
  </si>
  <si>
    <t>TST-08/07/2025_1763</t>
  </si>
  <si>
    <t>BFS Settlement 8/6/2025</t>
  </si>
  <si>
    <t>2025-08-07T01:00:04.600Z</t>
  </si>
  <si>
    <t>TCH-KxIoShewC</t>
  </si>
  <si>
    <t>CARD: TCH-KxIoShewC</t>
  </si>
  <si>
    <t>2025-08-06T15:59:15.705Z</t>
  </si>
  <si>
    <t>TCH-z7XVbU86U</t>
  </si>
  <si>
    <t>CARD: TCH-z7XVbU86U</t>
  </si>
  <si>
    <t>2025-08-06T15:39:58.769Z</t>
  </si>
  <si>
    <t>TRN-63DEK66HF958DBGI891FGH67690K0F38</t>
  </si>
  <si>
    <t>2025-08-06T11:28:29.696Z</t>
  </si>
  <si>
    <t>qJE1g5UTPtqgcoND48D0T</t>
  </si>
  <si>
    <t>000027250806115423034635525260</t>
  </si>
  <si>
    <t>NIBSS:9019953892:OLUWASEGUN MOHAMMED SHANU:FT MB  CBI-TECH - SHANU OLUWASEGUN:000027250806115423034635525260</t>
  </si>
  <si>
    <t>2025-08-06T10:54:05.087Z</t>
  </si>
  <si>
    <t>4TV4nP2xccs7HnI0gUQPV</t>
  </si>
  <si>
    <t>100004250806095549138401828556</t>
  </si>
  <si>
    <t>NIBSS:9010602314:OLUWASEGUN MOHAMMED SHANU:Transfer from OLUWASEGUN MOHAMMED SHANU:100004250806095549138401828556</t>
  </si>
  <si>
    <t>2025-08-06T09:56:07.419Z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</si>
</sst>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45-07E1-43D4-8138-DFB7FDD6AEC7}">
  <dimension ref="A1:P535"/>
  <sheetViews>
    <sheetView topLeftCell="D1" workbookViewId="0">
      <selection activeCell="G12" sqref="G12"/>
    </sheetView>
  </sheetViews>
  <sheetFormatPr defaultRowHeight="14.4" x14ac:dyDescent="0.3"/>
  <cols>
    <col min="1" max="1" width="14.6640625" customWidth="1"/>
    <col min="2" max="2" width="10.44140625" customWidth="1"/>
    <col min="9" max="9" width="10.109375" customWidth="1"/>
    <col min="10" max="10" width="19" customWidth="1"/>
    <col min="11" max="11" width="12.88671875" customWidth="1"/>
    <col min="12" max="12" width="1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 t="s">
        <v>17</v>
      </c>
      <c r="D2" t="s">
        <v>18</v>
      </c>
      <c r="E2" t="s">
        <v>19</v>
      </c>
      <c r="G2" t="s">
        <v>20</v>
      </c>
      <c r="H2">
        <v>50071.5</v>
      </c>
      <c r="I2">
        <v>0</v>
      </c>
      <c r="J2">
        <v>50071.5</v>
      </c>
      <c r="O2" t="s">
        <v>21</v>
      </c>
      <c r="P2" t="s">
        <v>22</v>
      </c>
    </row>
    <row r="3" spans="1:16" x14ac:dyDescent="0.3">
      <c r="A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20</v>
      </c>
      <c r="H3">
        <v>50000</v>
      </c>
      <c r="I3">
        <v>0</v>
      </c>
      <c r="J3">
        <v>50000</v>
      </c>
      <c r="O3" t="s">
        <v>21</v>
      </c>
      <c r="P3" t="s">
        <v>25</v>
      </c>
    </row>
    <row r="4" spans="1:16" x14ac:dyDescent="0.3">
      <c r="A4" t="s">
        <v>26</v>
      </c>
      <c r="C4" t="s">
        <v>17</v>
      </c>
      <c r="D4" t="s">
        <v>18</v>
      </c>
      <c r="E4" t="s">
        <v>19</v>
      </c>
      <c r="F4" t="s">
        <v>24</v>
      </c>
      <c r="G4" t="s">
        <v>20</v>
      </c>
      <c r="H4">
        <v>50000</v>
      </c>
      <c r="I4">
        <v>0</v>
      </c>
      <c r="J4">
        <v>50000</v>
      </c>
      <c r="O4" t="s">
        <v>21</v>
      </c>
      <c r="P4" t="s">
        <v>27</v>
      </c>
    </row>
    <row r="5" spans="1:16" x14ac:dyDescent="0.3">
      <c r="A5" t="s">
        <v>28</v>
      </c>
      <c r="B5">
        <v>1.0003326022405999E+29</v>
      </c>
      <c r="C5" t="s">
        <v>17</v>
      </c>
      <c r="D5" t="s">
        <v>29</v>
      </c>
      <c r="E5" t="s">
        <v>19</v>
      </c>
      <c r="F5" t="s">
        <v>30</v>
      </c>
      <c r="G5" t="s">
        <v>20</v>
      </c>
      <c r="H5">
        <v>50000</v>
      </c>
      <c r="I5">
        <v>32.25</v>
      </c>
      <c r="J5">
        <v>49967.75</v>
      </c>
      <c r="L5">
        <v>12</v>
      </c>
      <c r="M5">
        <v>2.25</v>
      </c>
      <c r="N5">
        <v>0</v>
      </c>
      <c r="O5" t="s">
        <v>21</v>
      </c>
      <c r="P5" t="s">
        <v>31</v>
      </c>
    </row>
    <row r="6" spans="1:16" x14ac:dyDescent="0.3">
      <c r="A6" t="s">
        <v>32</v>
      </c>
      <c r="C6" t="s">
        <v>17</v>
      </c>
      <c r="D6" t="s">
        <v>18</v>
      </c>
      <c r="E6" t="s">
        <v>19</v>
      </c>
      <c r="G6" t="s">
        <v>20</v>
      </c>
      <c r="H6">
        <v>50071.5</v>
      </c>
      <c r="I6">
        <v>0</v>
      </c>
      <c r="J6">
        <v>50071.5</v>
      </c>
      <c r="O6" t="s">
        <v>21</v>
      </c>
      <c r="P6" t="s">
        <v>33</v>
      </c>
    </row>
    <row r="7" spans="1:16" x14ac:dyDescent="0.3">
      <c r="A7" t="s">
        <v>34</v>
      </c>
      <c r="C7" t="s">
        <v>17</v>
      </c>
      <c r="D7" t="s">
        <v>18</v>
      </c>
      <c r="E7" t="s">
        <v>19</v>
      </c>
      <c r="F7" t="s">
        <v>24</v>
      </c>
      <c r="G7" t="s">
        <v>20</v>
      </c>
      <c r="H7">
        <v>50000</v>
      </c>
      <c r="I7">
        <v>0</v>
      </c>
      <c r="J7">
        <v>50000</v>
      </c>
      <c r="O7" t="s">
        <v>21</v>
      </c>
      <c r="P7" t="s">
        <v>35</v>
      </c>
    </row>
    <row r="8" spans="1:16" x14ac:dyDescent="0.3">
      <c r="A8" t="s">
        <v>36</v>
      </c>
      <c r="C8" t="s">
        <v>17</v>
      </c>
      <c r="D8" t="s">
        <v>18</v>
      </c>
      <c r="E8" t="s">
        <v>19</v>
      </c>
      <c r="F8" t="s">
        <v>24</v>
      </c>
      <c r="G8" t="s">
        <v>20</v>
      </c>
      <c r="H8">
        <v>50000</v>
      </c>
      <c r="I8">
        <v>0</v>
      </c>
      <c r="J8">
        <v>50000</v>
      </c>
      <c r="O8" t="s">
        <v>21</v>
      </c>
      <c r="P8" t="s">
        <v>37</v>
      </c>
    </row>
    <row r="9" spans="1:16" x14ac:dyDescent="0.3">
      <c r="A9" t="s">
        <v>38</v>
      </c>
      <c r="B9">
        <v>1.00004260223135E+29</v>
      </c>
      <c r="C9" t="s">
        <v>17</v>
      </c>
      <c r="D9" t="s">
        <v>29</v>
      </c>
      <c r="E9" t="s">
        <v>19</v>
      </c>
      <c r="F9" t="s">
        <v>39</v>
      </c>
      <c r="G9" t="s">
        <v>20</v>
      </c>
      <c r="H9">
        <v>50000</v>
      </c>
      <c r="I9">
        <v>32.25</v>
      </c>
      <c r="J9">
        <v>49967.75</v>
      </c>
      <c r="L9">
        <v>12</v>
      </c>
      <c r="M9">
        <v>2.25</v>
      </c>
      <c r="N9">
        <v>0</v>
      </c>
      <c r="O9" t="s">
        <v>21</v>
      </c>
      <c r="P9" t="s">
        <v>40</v>
      </c>
    </row>
    <row r="10" spans="1:16" x14ac:dyDescent="0.3">
      <c r="A10" t="s">
        <v>41</v>
      </c>
      <c r="C10" t="s">
        <v>17</v>
      </c>
      <c r="D10" t="s">
        <v>18</v>
      </c>
      <c r="E10" t="s">
        <v>19</v>
      </c>
      <c r="G10" t="s">
        <v>20</v>
      </c>
      <c r="H10">
        <v>5121.5</v>
      </c>
      <c r="I10">
        <v>0</v>
      </c>
      <c r="J10">
        <v>5121.5</v>
      </c>
      <c r="O10" t="s">
        <v>21</v>
      </c>
      <c r="P10" t="s">
        <v>42</v>
      </c>
    </row>
    <row r="11" spans="1:16" x14ac:dyDescent="0.3">
      <c r="A11" t="s">
        <v>43</v>
      </c>
      <c r="C11" t="s">
        <v>17</v>
      </c>
      <c r="D11" t="s">
        <v>18</v>
      </c>
      <c r="E11" t="s">
        <v>19</v>
      </c>
      <c r="F11" t="s">
        <v>24</v>
      </c>
      <c r="G11" t="s">
        <v>20</v>
      </c>
      <c r="H11">
        <v>5100</v>
      </c>
      <c r="I11">
        <v>0</v>
      </c>
      <c r="J11">
        <v>5100</v>
      </c>
      <c r="O11" t="s">
        <v>21</v>
      </c>
      <c r="P11" t="s">
        <v>44</v>
      </c>
    </row>
    <row r="12" spans="1:16" x14ac:dyDescent="0.3">
      <c r="A12" t="s">
        <v>45</v>
      </c>
      <c r="C12" t="s">
        <v>17</v>
      </c>
      <c r="D12" t="s">
        <v>18</v>
      </c>
      <c r="E12" t="s">
        <v>19</v>
      </c>
      <c r="F12" t="s">
        <v>24</v>
      </c>
      <c r="G12" t="s">
        <v>20</v>
      </c>
      <c r="H12">
        <v>5100</v>
      </c>
      <c r="I12">
        <v>0</v>
      </c>
      <c r="J12">
        <v>5100</v>
      </c>
      <c r="O12" t="s">
        <v>21</v>
      </c>
      <c r="P12" t="s">
        <v>46</v>
      </c>
    </row>
    <row r="13" spans="1:16" x14ac:dyDescent="0.3">
      <c r="A13" t="s">
        <v>47</v>
      </c>
      <c r="B13">
        <v>1.00033260216053E+29</v>
      </c>
      <c r="C13" t="s">
        <v>17</v>
      </c>
      <c r="D13" t="s">
        <v>29</v>
      </c>
      <c r="E13" t="s">
        <v>19</v>
      </c>
      <c r="F13" t="s">
        <v>48</v>
      </c>
      <c r="G13" t="s">
        <v>20</v>
      </c>
      <c r="H13">
        <v>5000</v>
      </c>
      <c r="I13">
        <v>32.25</v>
      </c>
      <c r="J13">
        <v>4967.75</v>
      </c>
      <c r="L13">
        <v>12</v>
      </c>
      <c r="M13">
        <v>2.25</v>
      </c>
      <c r="N13">
        <v>0</v>
      </c>
      <c r="O13" t="s">
        <v>21</v>
      </c>
      <c r="P13" t="s">
        <v>49</v>
      </c>
    </row>
    <row r="14" spans="1:16" x14ac:dyDescent="0.3">
      <c r="A14" t="s">
        <v>50</v>
      </c>
      <c r="C14" t="s">
        <v>17</v>
      </c>
      <c r="D14" t="s">
        <v>18</v>
      </c>
      <c r="E14" t="s">
        <v>19</v>
      </c>
      <c r="G14" t="s">
        <v>20</v>
      </c>
      <c r="H14">
        <v>5021.5</v>
      </c>
      <c r="I14">
        <v>0</v>
      </c>
      <c r="J14">
        <v>5021.5</v>
      </c>
      <c r="O14" t="s">
        <v>21</v>
      </c>
      <c r="P14" t="s">
        <v>51</v>
      </c>
    </row>
    <row r="15" spans="1:16" x14ac:dyDescent="0.3">
      <c r="A15" t="s">
        <v>52</v>
      </c>
      <c r="C15" t="s">
        <v>17</v>
      </c>
      <c r="D15" t="s">
        <v>18</v>
      </c>
      <c r="E15" t="s">
        <v>19</v>
      </c>
      <c r="F15" t="s">
        <v>24</v>
      </c>
      <c r="G15" t="s">
        <v>20</v>
      </c>
      <c r="H15">
        <v>5000</v>
      </c>
      <c r="I15">
        <v>0</v>
      </c>
      <c r="J15">
        <v>5000</v>
      </c>
      <c r="O15" t="s">
        <v>21</v>
      </c>
      <c r="P15" t="s">
        <v>53</v>
      </c>
    </row>
    <row r="16" spans="1:16" x14ac:dyDescent="0.3">
      <c r="A16" t="s">
        <v>54</v>
      </c>
      <c r="C16" t="s">
        <v>17</v>
      </c>
      <c r="D16" t="s">
        <v>18</v>
      </c>
      <c r="E16" t="s">
        <v>19</v>
      </c>
      <c r="F16" t="s">
        <v>24</v>
      </c>
      <c r="G16" t="s">
        <v>20</v>
      </c>
      <c r="H16">
        <v>5000</v>
      </c>
      <c r="I16">
        <v>0</v>
      </c>
      <c r="J16">
        <v>5000</v>
      </c>
      <c r="O16" t="s">
        <v>21</v>
      </c>
      <c r="P16" t="s">
        <v>55</v>
      </c>
    </row>
    <row r="17" spans="1:16" x14ac:dyDescent="0.3">
      <c r="A17" t="s">
        <v>56</v>
      </c>
      <c r="B17">
        <v>1.0003326020716199E+29</v>
      </c>
      <c r="C17" t="s">
        <v>17</v>
      </c>
      <c r="D17" t="s">
        <v>29</v>
      </c>
      <c r="E17" t="s">
        <v>19</v>
      </c>
      <c r="F17" t="s">
        <v>57</v>
      </c>
      <c r="G17" t="s">
        <v>20</v>
      </c>
      <c r="H17">
        <v>5200</v>
      </c>
      <c r="I17">
        <v>32.25</v>
      </c>
      <c r="J17">
        <v>5167.75</v>
      </c>
      <c r="L17">
        <v>12</v>
      </c>
      <c r="M17">
        <v>2.25</v>
      </c>
      <c r="N17">
        <v>0</v>
      </c>
      <c r="O17" t="s">
        <v>21</v>
      </c>
      <c r="P17" t="s">
        <v>58</v>
      </c>
    </row>
    <row r="18" spans="1:16" x14ac:dyDescent="0.3">
      <c r="A18" t="s">
        <v>59</v>
      </c>
      <c r="C18" t="s">
        <v>17</v>
      </c>
      <c r="D18" t="s">
        <v>18</v>
      </c>
      <c r="E18" t="s">
        <v>19</v>
      </c>
      <c r="G18" t="s">
        <v>20</v>
      </c>
      <c r="H18">
        <v>3021.5</v>
      </c>
      <c r="I18">
        <v>0</v>
      </c>
      <c r="J18">
        <v>3021.5</v>
      </c>
      <c r="O18" t="s">
        <v>21</v>
      </c>
      <c r="P18" t="s">
        <v>60</v>
      </c>
    </row>
    <row r="19" spans="1:16" x14ac:dyDescent="0.3">
      <c r="A19" t="s">
        <v>61</v>
      </c>
      <c r="C19" t="s">
        <v>17</v>
      </c>
      <c r="D19" t="s">
        <v>18</v>
      </c>
      <c r="E19" t="s">
        <v>19</v>
      </c>
      <c r="F19" t="s">
        <v>24</v>
      </c>
      <c r="G19" t="s">
        <v>20</v>
      </c>
      <c r="H19">
        <v>3000</v>
      </c>
      <c r="I19">
        <v>0</v>
      </c>
      <c r="J19">
        <v>3000</v>
      </c>
      <c r="O19" t="s">
        <v>21</v>
      </c>
      <c r="P19" t="s">
        <v>62</v>
      </c>
    </row>
    <row r="20" spans="1:16" x14ac:dyDescent="0.3">
      <c r="A20" t="s">
        <v>63</v>
      </c>
      <c r="C20" t="s">
        <v>17</v>
      </c>
      <c r="D20" t="s">
        <v>18</v>
      </c>
      <c r="E20" t="s">
        <v>19</v>
      </c>
      <c r="F20" t="s">
        <v>24</v>
      </c>
      <c r="G20" t="s">
        <v>20</v>
      </c>
      <c r="H20">
        <v>3000</v>
      </c>
      <c r="I20">
        <v>0</v>
      </c>
      <c r="J20">
        <v>3000</v>
      </c>
      <c r="O20" t="s">
        <v>21</v>
      </c>
      <c r="P20" t="s">
        <v>64</v>
      </c>
    </row>
    <row r="21" spans="1:16" x14ac:dyDescent="0.3">
      <c r="A21" t="s">
        <v>65</v>
      </c>
      <c r="B21">
        <v>1.00033260202221E+29</v>
      </c>
      <c r="C21" t="s">
        <v>17</v>
      </c>
      <c r="D21" t="s">
        <v>29</v>
      </c>
      <c r="E21" t="s">
        <v>19</v>
      </c>
      <c r="F21" t="s">
        <v>66</v>
      </c>
      <c r="G21" t="s">
        <v>20</v>
      </c>
      <c r="H21">
        <v>3000</v>
      </c>
      <c r="I21">
        <v>32.25</v>
      </c>
      <c r="J21">
        <v>2967.75</v>
      </c>
      <c r="L21">
        <v>12</v>
      </c>
      <c r="M21">
        <v>2.25</v>
      </c>
      <c r="N21">
        <v>0</v>
      </c>
      <c r="O21" t="s">
        <v>21</v>
      </c>
      <c r="P21" t="s">
        <v>67</v>
      </c>
    </row>
    <row r="22" spans="1:16" x14ac:dyDescent="0.3">
      <c r="A22" t="s">
        <v>68</v>
      </c>
      <c r="C22" t="s">
        <v>17</v>
      </c>
      <c r="D22" t="s">
        <v>18</v>
      </c>
      <c r="E22" t="s">
        <v>19</v>
      </c>
      <c r="G22" t="s">
        <v>20</v>
      </c>
      <c r="H22">
        <v>15071.5</v>
      </c>
      <c r="I22">
        <v>0</v>
      </c>
      <c r="J22">
        <v>15071.5</v>
      </c>
      <c r="O22" t="s">
        <v>21</v>
      </c>
      <c r="P22" t="s">
        <v>69</v>
      </c>
    </row>
    <row r="23" spans="1:16" x14ac:dyDescent="0.3">
      <c r="A23" t="s">
        <v>70</v>
      </c>
      <c r="C23" t="s">
        <v>17</v>
      </c>
      <c r="D23" t="s">
        <v>18</v>
      </c>
      <c r="E23" t="s">
        <v>19</v>
      </c>
      <c r="F23" t="s">
        <v>24</v>
      </c>
      <c r="G23" t="s">
        <v>20</v>
      </c>
      <c r="H23">
        <v>15000</v>
      </c>
      <c r="I23">
        <v>0</v>
      </c>
      <c r="J23">
        <v>15000</v>
      </c>
      <c r="O23" t="s">
        <v>21</v>
      </c>
      <c r="P23" t="s">
        <v>71</v>
      </c>
    </row>
    <row r="24" spans="1:16" x14ac:dyDescent="0.3">
      <c r="A24" t="s">
        <v>72</v>
      </c>
      <c r="C24" t="s">
        <v>17</v>
      </c>
      <c r="D24" t="s">
        <v>18</v>
      </c>
      <c r="E24" t="s">
        <v>19</v>
      </c>
      <c r="F24" t="s">
        <v>24</v>
      </c>
      <c r="G24" t="s">
        <v>20</v>
      </c>
      <c r="H24">
        <v>15000</v>
      </c>
      <c r="I24">
        <v>0</v>
      </c>
      <c r="J24">
        <v>15000</v>
      </c>
      <c r="O24" t="s">
        <v>21</v>
      </c>
      <c r="P24" t="s">
        <v>73</v>
      </c>
    </row>
    <row r="25" spans="1:16" x14ac:dyDescent="0.3">
      <c r="A25" t="s">
        <v>74</v>
      </c>
      <c r="B25">
        <v>1.0003326013123201E+29</v>
      </c>
      <c r="C25" t="s">
        <v>17</v>
      </c>
      <c r="D25" t="s">
        <v>29</v>
      </c>
      <c r="E25" t="s">
        <v>19</v>
      </c>
      <c r="F25" t="s">
        <v>75</v>
      </c>
      <c r="G25" t="s">
        <v>20</v>
      </c>
      <c r="H25">
        <v>15000</v>
      </c>
      <c r="I25">
        <v>32.25</v>
      </c>
      <c r="J25">
        <v>14967.75</v>
      </c>
      <c r="L25">
        <v>12</v>
      </c>
      <c r="M25">
        <v>2.25</v>
      </c>
      <c r="N25">
        <v>0</v>
      </c>
      <c r="O25" t="s">
        <v>21</v>
      </c>
      <c r="P25" t="s">
        <v>76</v>
      </c>
    </row>
    <row r="26" spans="1:16" x14ac:dyDescent="0.3">
      <c r="A26" t="s">
        <v>77</v>
      </c>
      <c r="C26" t="s">
        <v>17</v>
      </c>
      <c r="D26" t="s">
        <v>18</v>
      </c>
      <c r="E26" t="s">
        <v>19</v>
      </c>
      <c r="G26" t="s">
        <v>20</v>
      </c>
      <c r="H26">
        <v>12071.5</v>
      </c>
      <c r="I26">
        <v>0</v>
      </c>
      <c r="J26">
        <v>12071.5</v>
      </c>
      <c r="O26" t="s">
        <v>21</v>
      </c>
      <c r="P26" t="s">
        <v>78</v>
      </c>
    </row>
    <row r="27" spans="1:16" x14ac:dyDescent="0.3">
      <c r="A27" t="s">
        <v>79</v>
      </c>
      <c r="C27" t="s">
        <v>17</v>
      </c>
      <c r="D27" t="s">
        <v>18</v>
      </c>
      <c r="E27" t="s">
        <v>19</v>
      </c>
      <c r="F27" t="s">
        <v>24</v>
      </c>
      <c r="G27" t="s">
        <v>20</v>
      </c>
      <c r="H27">
        <v>12200</v>
      </c>
      <c r="I27">
        <v>0</v>
      </c>
      <c r="J27">
        <v>12200</v>
      </c>
      <c r="O27" t="s">
        <v>21</v>
      </c>
      <c r="P27" t="s">
        <v>80</v>
      </c>
    </row>
    <row r="28" spans="1:16" x14ac:dyDescent="0.3">
      <c r="A28" t="s">
        <v>81</v>
      </c>
      <c r="C28" t="s">
        <v>17</v>
      </c>
      <c r="D28" t="s">
        <v>18</v>
      </c>
      <c r="E28" t="s">
        <v>19</v>
      </c>
      <c r="F28" t="s">
        <v>24</v>
      </c>
      <c r="G28" t="s">
        <v>20</v>
      </c>
      <c r="H28">
        <v>12200</v>
      </c>
      <c r="I28">
        <v>0</v>
      </c>
      <c r="J28">
        <v>12200</v>
      </c>
      <c r="O28" t="s">
        <v>21</v>
      </c>
      <c r="P28" t="s">
        <v>82</v>
      </c>
    </row>
    <row r="29" spans="1:16" x14ac:dyDescent="0.3">
      <c r="A29" t="s">
        <v>83</v>
      </c>
      <c r="B29">
        <v>1.0003326013018E+29</v>
      </c>
      <c r="C29" t="s">
        <v>17</v>
      </c>
      <c r="D29" t="s">
        <v>29</v>
      </c>
      <c r="E29" t="s">
        <v>19</v>
      </c>
      <c r="F29" t="s">
        <v>84</v>
      </c>
      <c r="G29" t="s">
        <v>20</v>
      </c>
      <c r="H29">
        <v>12200</v>
      </c>
      <c r="I29">
        <v>32.25</v>
      </c>
      <c r="J29">
        <v>12167.75</v>
      </c>
      <c r="L29">
        <v>12</v>
      </c>
      <c r="M29">
        <v>2.25</v>
      </c>
      <c r="N29">
        <v>0</v>
      </c>
      <c r="O29" t="s">
        <v>21</v>
      </c>
      <c r="P29" t="s">
        <v>85</v>
      </c>
    </row>
    <row r="30" spans="1:16" x14ac:dyDescent="0.3">
      <c r="A30" t="s">
        <v>86</v>
      </c>
      <c r="C30" t="s">
        <v>17</v>
      </c>
      <c r="D30" t="s">
        <v>18</v>
      </c>
      <c r="E30" t="s">
        <v>19</v>
      </c>
      <c r="G30" t="s">
        <v>20</v>
      </c>
      <c r="H30">
        <v>15071.5</v>
      </c>
      <c r="I30">
        <v>0</v>
      </c>
      <c r="J30">
        <v>15071.5</v>
      </c>
      <c r="O30" t="s">
        <v>21</v>
      </c>
      <c r="P30" t="s">
        <v>87</v>
      </c>
    </row>
    <row r="31" spans="1:16" x14ac:dyDescent="0.3">
      <c r="A31" t="s">
        <v>88</v>
      </c>
      <c r="C31" t="s">
        <v>17</v>
      </c>
      <c r="D31" t="s">
        <v>18</v>
      </c>
      <c r="E31" t="s">
        <v>19</v>
      </c>
      <c r="F31" t="s">
        <v>24</v>
      </c>
      <c r="G31" t="s">
        <v>20</v>
      </c>
      <c r="H31">
        <v>15100</v>
      </c>
      <c r="I31">
        <v>0</v>
      </c>
      <c r="J31">
        <v>15100</v>
      </c>
      <c r="O31" t="s">
        <v>21</v>
      </c>
      <c r="P31" t="s">
        <v>89</v>
      </c>
    </row>
    <row r="32" spans="1:16" x14ac:dyDescent="0.3">
      <c r="A32" t="s">
        <v>90</v>
      </c>
      <c r="C32" t="s">
        <v>17</v>
      </c>
      <c r="D32" t="s">
        <v>18</v>
      </c>
      <c r="E32" t="s">
        <v>19</v>
      </c>
      <c r="F32" t="s">
        <v>24</v>
      </c>
      <c r="G32" t="s">
        <v>20</v>
      </c>
      <c r="H32">
        <v>15100</v>
      </c>
      <c r="I32">
        <v>0</v>
      </c>
      <c r="J32">
        <v>15100</v>
      </c>
      <c r="O32" t="s">
        <v>21</v>
      </c>
      <c r="P32" t="s">
        <v>91</v>
      </c>
    </row>
    <row r="33" spans="1:16" x14ac:dyDescent="0.3">
      <c r="A33" t="s">
        <v>92</v>
      </c>
      <c r="B33">
        <v>1.00033260129225E+29</v>
      </c>
      <c r="C33" t="s">
        <v>17</v>
      </c>
      <c r="D33" t="s">
        <v>29</v>
      </c>
      <c r="E33" t="s">
        <v>19</v>
      </c>
      <c r="F33" t="s">
        <v>93</v>
      </c>
      <c r="G33" t="s">
        <v>20</v>
      </c>
      <c r="H33">
        <v>15100</v>
      </c>
      <c r="I33">
        <v>32.25</v>
      </c>
      <c r="J33">
        <v>15067.75</v>
      </c>
      <c r="L33">
        <v>12</v>
      </c>
      <c r="M33">
        <v>2.25</v>
      </c>
      <c r="N33">
        <v>0</v>
      </c>
      <c r="O33" t="s">
        <v>21</v>
      </c>
      <c r="P33" t="s">
        <v>94</v>
      </c>
    </row>
    <row r="34" spans="1:16" x14ac:dyDescent="0.3">
      <c r="A34" t="s">
        <v>95</v>
      </c>
      <c r="C34" t="s">
        <v>17</v>
      </c>
      <c r="D34" t="s">
        <v>18</v>
      </c>
      <c r="E34" t="s">
        <v>19</v>
      </c>
      <c r="G34" t="s">
        <v>20</v>
      </c>
      <c r="H34">
        <v>10071.5</v>
      </c>
      <c r="I34">
        <v>0</v>
      </c>
      <c r="J34">
        <v>10071.5</v>
      </c>
      <c r="O34" t="s">
        <v>21</v>
      </c>
      <c r="P34" t="s">
        <v>96</v>
      </c>
    </row>
    <row r="35" spans="1:16" x14ac:dyDescent="0.3">
      <c r="A35" t="s">
        <v>97</v>
      </c>
      <c r="C35" t="s">
        <v>17</v>
      </c>
      <c r="D35" t="s">
        <v>18</v>
      </c>
      <c r="E35" t="s">
        <v>19</v>
      </c>
      <c r="F35" t="s">
        <v>24</v>
      </c>
      <c r="G35" t="s">
        <v>20</v>
      </c>
      <c r="H35">
        <v>10000</v>
      </c>
      <c r="I35">
        <v>0</v>
      </c>
      <c r="J35">
        <v>10000</v>
      </c>
      <c r="O35" t="s">
        <v>21</v>
      </c>
      <c r="P35" t="s">
        <v>98</v>
      </c>
    </row>
    <row r="36" spans="1:16" x14ac:dyDescent="0.3">
      <c r="A36" t="s">
        <v>99</v>
      </c>
      <c r="C36" t="s">
        <v>17</v>
      </c>
      <c r="D36" t="s">
        <v>18</v>
      </c>
      <c r="E36" t="s">
        <v>19</v>
      </c>
      <c r="F36" t="s">
        <v>24</v>
      </c>
      <c r="G36" t="s">
        <v>20</v>
      </c>
      <c r="H36">
        <v>10000</v>
      </c>
      <c r="I36">
        <v>0</v>
      </c>
      <c r="J36">
        <v>10000</v>
      </c>
      <c r="O36" t="s">
        <v>21</v>
      </c>
      <c r="P36" t="s">
        <v>100</v>
      </c>
    </row>
    <row r="37" spans="1:16" x14ac:dyDescent="0.3">
      <c r="A37" t="s">
        <v>101</v>
      </c>
      <c r="B37">
        <v>1.00033260129185E+29</v>
      </c>
      <c r="C37" t="s">
        <v>17</v>
      </c>
      <c r="D37" t="s">
        <v>29</v>
      </c>
      <c r="E37" t="s">
        <v>19</v>
      </c>
      <c r="F37" t="s">
        <v>102</v>
      </c>
      <c r="G37" t="s">
        <v>20</v>
      </c>
      <c r="H37">
        <v>10000</v>
      </c>
      <c r="I37">
        <v>32.25</v>
      </c>
      <c r="J37">
        <v>9967.75</v>
      </c>
      <c r="L37">
        <v>12</v>
      </c>
      <c r="M37">
        <v>2.25</v>
      </c>
      <c r="N37">
        <v>0</v>
      </c>
      <c r="O37" t="s">
        <v>21</v>
      </c>
      <c r="P37" t="s">
        <v>103</v>
      </c>
    </row>
    <row r="38" spans="1:16" x14ac:dyDescent="0.3">
      <c r="A38" t="s">
        <v>104</v>
      </c>
      <c r="C38" t="s">
        <v>17</v>
      </c>
      <c r="D38" t="s">
        <v>18</v>
      </c>
      <c r="E38" t="s">
        <v>19</v>
      </c>
      <c r="G38" t="s">
        <v>20</v>
      </c>
      <c r="H38">
        <v>7021.5</v>
      </c>
      <c r="I38">
        <v>0</v>
      </c>
      <c r="J38">
        <v>7021.5</v>
      </c>
      <c r="O38" t="s">
        <v>21</v>
      </c>
      <c r="P38" t="s">
        <v>105</v>
      </c>
    </row>
    <row r="39" spans="1:16" x14ac:dyDescent="0.3">
      <c r="A39" t="s">
        <v>106</v>
      </c>
      <c r="C39" t="s">
        <v>17</v>
      </c>
      <c r="D39" t="s">
        <v>18</v>
      </c>
      <c r="E39" t="s">
        <v>19</v>
      </c>
      <c r="F39" t="s">
        <v>24</v>
      </c>
      <c r="G39" t="s">
        <v>20</v>
      </c>
      <c r="H39">
        <v>7000</v>
      </c>
      <c r="I39">
        <v>0</v>
      </c>
      <c r="J39">
        <v>7000</v>
      </c>
      <c r="O39" t="s">
        <v>21</v>
      </c>
      <c r="P39" t="s">
        <v>107</v>
      </c>
    </row>
    <row r="40" spans="1:16" x14ac:dyDescent="0.3">
      <c r="A40" t="s">
        <v>108</v>
      </c>
      <c r="C40" t="s">
        <v>17</v>
      </c>
      <c r="D40" t="s">
        <v>18</v>
      </c>
      <c r="E40" t="s">
        <v>19</v>
      </c>
      <c r="F40" t="s">
        <v>24</v>
      </c>
      <c r="G40" t="s">
        <v>20</v>
      </c>
      <c r="H40">
        <v>7000</v>
      </c>
      <c r="I40">
        <v>0</v>
      </c>
      <c r="J40">
        <v>7000</v>
      </c>
      <c r="O40" t="s">
        <v>21</v>
      </c>
      <c r="P40" t="s">
        <v>109</v>
      </c>
    </row>
    <row r="41" spans="1:16" x14ac:dyDescent="0.3">
      <c r="A41" t="s">
        <v>110</v>
      </c>
      <c r="B41">
        <v>1.0003326012912E+29</v>
      </c>
      <c r="C41" t="s">
        <v>17</v>
      </c>
      <c r="D41" t="s">
        <v>29</v>
      </c>
      <c r="E41" t="s">
        <v>19</v>
      </c>
      <c r="F41" t="s">
        <v>111</v>
      </c>
      <c r="G41" t="s">
        <v>20</v>
      </c>
      <c r="H41">
        <v>7000</v>
      </c>
      <c r="I41">
        <v>32.25</v>
      </c>
      <c r="J41">
        <v>6967.75</v>
      </c>
      <c r="L41">
        <v>12</v>
      </c>
      <c r="M41">
        <v>2.25</v>
      </c>
      <c r="N41">
        <v>0</v>
      </c>
      <c r="O41" t="s">
        <v>21</v>
      </c>
      <c r="P41" t="s">
        <v>112</v>
      </c>
    </row>
    <row r="42" spans="1:16" x14ac:dyDescent="0.3">
      <c r="A42" t="s">
        <v>113</v>
      </c>
      <c r="C42" t="s">
        <v>17</v>
      </c>
      <c r="D42" t="s">
        <v>18</v>
      </c>
      <c r="E42" t="s">
        <v>19</v>
      </c>
      <c r="G42" t="s">
        <v>20</v>
      </c>
      <c r="H42">
        <v>10071.5</v>
      </c>
      <c r="I42">
        <v>0</v>
      </c>
      <c r="J42">
        <v>10071.5</v>
      </c>
      <c r="O42" t="s">
        <v>21</v>
      </c>
      <c r="P42" t="s">
        <v>114</v>
      </c>
    </row>
    <row r="43" spans="1:16" x14ac:dyDescent="0.3">
      <c r="A43" t="s">
        <v>115</v>
      </c>
      <c r="C43" t="s">
        <v>17</v>
      </c>
      <c r="D43" t="s">
        <v>18</v>
      </c>
      <c r="E43" t="s">
        <v>19</v>
      </c>
      <c r="F43" t="s">
        <v>24</v>
      </c>
      <c r="G43" t="s">
        <v>20</v>
      </c>
      <c r="H43">
        <v>10200</v>
      </c>
      <c r="I43">
        <v>0</v>
      </c>
      <c r="J43">
        <v>10200</v>
      </c>
      <c r="O43" t="s">
        <v>21</v>
      </c>
      <c r="P43" t="s">
        <v>116</v>
      </c>
    </row>
    <row r="44" spans="1:16" x14ac:dyDescent="0.3">
      <c r="A44" t="s">
        <v>117</v>
      </c>
      <c r="C44" t="s">
        <v>17</v>
      </c>
      <c r="D44" t="s">
        <v>18</v>
      </c>
      <c r="E44" t="s">
        <v>19</v>
      </c>
      <c r="F44" t="s">
        <v>24</v>
      </c>
      <c r="G44" t="s">
        <v>20</v>
      </c>
      <c r="H44">
        <v>10200</v>
      </c>
      <c r="I44">
        <v>0</v>
      </c>
      <c r="J44">
        <v>10200</v>
      </c>
      <c r="O44" t="s">
        <v>21</v>
      </c>
      <c r="P44" t="s">
        <v>118</v>
      </c>
    </row>
    <row r="45" spans="1:16" x14ac:dyDescent="0.3">
      <c r="A45" t="s">
        <v>119</v>
      </c>
      <c r="B45">
        <v>1.0003326012909E+29</v>
      </c>
      <c r="C45" t="s">
        <v>17</v>
      </c>
      <c r="D45" t="s">
        <v>29</v>
      </c>
      <c r="E45" t="s">
        <v>19</v>
      </c>
      <c r="F45" t="s">
        <v>120</v>
      </c>
      <c r="G45" t="s">
        <v>20</v>
      </c>
      <c r="H45">
        <v>10200</v>
      </c>
      <c r="I45">
        <v>32.25</v>
      </c>
      <c r="J45">
        <v>10167.75</v>
      </c>
      <c r="L45">
        <v>12</v>
      </c>
      <c r="M45">
        <v>2.25</v>
      </c>
      <c r="N45">
        <v>0</v>
      </c>
      <c r="O45" t="s">
        <v>21</v>
      </c>
      <c r="P45" t="s">
        <v>121</v>
      </c>
    </row>
    <row r="46" spans="1:16" x14ac:dyDescent="0.3">
      <c r="A46" t="s">
        <v>122</v>
      </c>
      <c r="C46" t="s">
        <v>17</v>
      </c>
      <c r="D46" t="s">
        <v>18</v>
      </c>
      <c r="E46" t="s">
        <v>19</v>
      </c>
      <c r="G46" t="s">
        <v>20</v>
      </c>
      <c r="H46">
        <v>15071.5</v>
      </c>
      <c r="I46">
        <v>0</v>
      </c>
      <c r="J46">
        <v>15071.5</v>
      </c>
      <c r="O46" t="s">
        <v>21</v>
      </c>
      <c r="P46" t="s">
        <v>123</v>
      </c>
    </row>
    <row r="47" spans="1:16" x14ac:dyDescent="0.3">
      <c r="A47" t="s">
        <v>124</v>
      </c>
      <c r="C47" t="s">
        <v>17</v>
      </c>
      <c r="D47" t="s">
        <v>18</v>
      </c>
      <c r="E47" t="s">
        <v>19</v>
      </c>
      <c r="G47" t="s">
        <v>20</v>
      </c>
      <c r="H47">
        <v>15071.5</v>
      </c>
      <c r="I47">
        <v>0</v>
      </c>
      <c r="J47">
        <v>15071.5</v>
      </c>
      <c r="O47" t="s">
        <v>21</v>
      </c>
      <c r="P47" t="s">
        <v>125</v>
      </c>
    </row>
    <row r="48" spans="1:16" x14ac:dyDescent="0.3">
      <c r="A48" t="s">
        <v>126</v>
      </c>
      <c r="C48" t="s">
        <v>17</v>
      </c>
      <c r="D48" t="s">
        <v>18</v>
      </c>
      <c r="E48" t="s">
        <v>19</v>
      </c>
      <c r="G48" t="s">
        <v>20</v>
      </c>
      <c r="H48">
        <v>15071.5</v>
      </c>
      <c r="I48">
        <v>0</v>
      </c>
      <c r="J48">
        <v>15071.5</v>
      </c>
      <c r="O48" t="s">
        <v>21</v>
      </c>
      <c r="P48" t="s">
        <v>127</v>
      </c>
    </row>
    <row r="49" spans="1:16" x14ac:dyDescent="0.3">
      <c r="A49" t="s">
        <v>128</v>
      </c>
      <c r="C49" t="s">
        <v>17</v>
      </c>
      <c r="D49" t="s">
        <v>18</v>
      </c>
      <c r="E49" t="s">
        <v>19</v>
      </c>
      <c r="F49" t="s">
        <v>24</v>
      </c>
      <c r="G49" t="s">
        <v>20</v>
      </c>
      <c r="H49">
        <v>15000</v>
      </c>
      <c r="I49">
        <v>0</v>
      </c>
      <c r="J49">
        <v>15000</v>
      </c>
      <c r="O49" t="s">
        <v>21</v>
      </c>
      <c r="P49" t="s">
        <v>129</v>
      </c>
    </row>
    <row r="50" spans="1:16" x14ac:dyDescent="0.3">
      <c r="A50" t="s">
        <v>130</v>
      </c>
      <c r="C50" t="s">
        <v>17</v>
      </c>
      <c r="D50" t="s">
        <v>18</v>
      </c>
      <c r="E50" t="s">
        <v>19</v>
      </c>
      <c r="F50" t="s">
        <v>24</v>
      </c>
      <c r="G50" t="s">
        <v>20</v>
      </c>
      <c r="H50">
        <v>15000</v>
      </c>
      <c r="I50">
        <v>0</v>
      </c>
      <c r="J50">
        <v>15000</v>
      </c>
      <c r="O50" t="s">
        <v>21</v>
      </c>
      <c r="P50" t="s">
        <v>131</v>
      </c>
    </row>
    <row r="51" spans="1:16" x14ac:dyDescent="0.3">
      <c r="A51" t="s">
        <v>132</v>
      </c>
      <c r="B51">
        <v>1.0003326012822E+29</v>
      </c>
      <c r="C51" t="s">
        <v>17</v>
      </c>
      <c r="D51" t="s">
        <v>29</v>
      </c>
      <c r="E51" t="s">
        <v>19</v>
      </c>
      <c r="F51" t="s">
        <v>133</v>
      </c>
      <c r="G51" t="s">
        <v>20</v>
      </c>
      <c r="H51">
        <v>15100</v>
      </c>
      <c r="I51">
        <v>32.25</v>
      </c>
      <c r="J51">
        <v>15067.75</v>
      </c>
      <c r="L51">
        <v>12</v>
      </c>
      <c r="M51">
        <v>2.25</v>
      </c>
      <c r="N51">
        <v>0</v>
      </c>
      <c r="O51" t="s">
        <v>21</v>
      </c>
      <c r="P51" t="s">
        <v>134</v>
      </c>
    </row>
    <row r="52" spans="1:16" x14ac:dyDescent="0.3">
      <c r="A52" t="s">
        <v>135</v>
      </c>
      <c r="C52" t="s">
        <v>17</v>
      </c>
      <c r="D52" t="s">
        <v>18</v>
      </c>
      <c r="E52" t="s">
        <v>19</v>
      </c>
      <c r="G52" t="s">
        <v>20</v>
      </c>
      <c r="H52">
        <v>15071.5</v>
      </c>
      <c r="I52">
        <v>0</v>
      </c>
      <c r="J52">
        <v>15071.5</v>
      </c>
      <c r="O52" t="s">
        <v>21</v>
      </c>
      <c r="P52" t="s">
        <v>136</v>
      </c>
    </row>
    <row r="53" spans="1:16" x14ac:dyDescent="0.3">
      <c r="A53" t="s">
        <v>137</v>
      </c>
      <c r="C53" t="s">
        <v>17</v>
      </c>
      <c r="D53" t="s">
        <v>18</v>
      </c>
      <c r="E53" t="s">
        <v>19</v>
      </c>
      <c r="F53" t="s">
        <v>24</v>
      </c>
      <c r="G53" t="s">
        <v>20</v>
      </c>
      <c r="H53">
        <v>15200</v>
      </c>
      <c r="I53">
        <v>0</v>
      </c>
      <c r="J53">
        <v>15200</v>
      </c>
      <c r="O53" t="s">
        <v>21</v>
      </c>
      <c r="P53" t="s">
        <v>138</v>
      </c>
    </row>
    <row r="54" spans="1:16" x14ac:dyDescent="0.3">
      <c r="A54" t="s">
        <v>139</v>
      </c>
      <c r="C54" t="s">
        <v>17</v>
      </c>
      <c r="D54" t="s">
        <v>18</v>
      </c>
      <c r="E54" t="s">
        <v>19</v>
      </c>
      <c r="F54" t="s">
        <v>24</v>
      </c>
      <c r="G54" t="s">
        <v>20</v>
      </c>
      <c r="H54">
        <v>15200</v>
      </c>
      <c r="I54">
        <v>0</v>
      </c>
      <c r="J54">
        <v>15200</v>
      </c>
      <c r="O54" t="s">
        <v>21</v>
      </c>
      <c r="P54" t="s">
        <v>140</v>
      </c>
    </row>
    <row r="55" spans="1:16" x14ac:dyDescent="0.3">
      <c r="A55" t="s">
        <v>141</v>
      </c>
      <c r="B55">
        <v>1.0003326012821199E+29</v>
      </c>
      <c r="C55" t="s">
        <v>17</v>
      </c>
      <c r="D55" t="s">
        <v>29</v>
      </c>
      <c r="E55" t="s">
        <v>19</v>
      </c>
      <c r="F55" t="s">
        <v>142</v>
      </c>
      <c r="G55" t="s">
        <v>20</v>
      </c>
      <c r="H55">
        <v>15300</v>
      </c>
      <c r="I55">
        <v>32.25</v>
      </c>
      <c r="J55">
        <v>15267.75</v>
      </c>
      <c r="L55">
        <v>12</v>
      </c>
      <c r="M55">
        <v>2.25</v>
      </c>
      <c r="N55">
        <v>0</v>
      </c>
      <c r="O55" t="s">
        <v>21</v>
      </c>
      <c r="P55" t="s">
        <v>143</v>
      </c>
    </row>
    <row r="56" spans="1:16" x14ac:dyDescent="0.3">
      <c r="A56" t="s">
        <v>144</v>
      </c>
      <c r="C56" t="s">
        <v>17</v>
      </c>
      <c r="D56" t="s">
        <v>18</v>
      </c>
      <c r="E56" t="s">
        <v>19</v>
      </c>
      <c r="G56" t="s">
        <v>20</v>
      </c>
      <c r="H56">
        <v>3921.5</v>
      </c>
      <c r="I56">
        <v>0</v>
      </c>
      <c r="J56">
        <v>3921.5</v>
      </c>
      <c r="O56" t="s">
        <v>21</v>
      </c>
      <c r="P56" t="s">
        <v>145</v>
      </c>
    </row>
    <row r="57" spans="1:16" x14ac:dyDescent="0.3">
      <c r="A57" t="s">
        <v>146</v>
      </c>
      <c r="C57" t="s">
        <v>17</v>
      </c>
      <c r="D57" t="s">
        <v>18</v>
      </c>
      <c r="E57" t="s">
        <v>19</v>
      </c>
      <c r="F57" t="s">
        <v>24</v>
      </c>
      <c r="G57" t="s">
        <v>20</v>
      </c>
      <c r="H57">
        <v>3900</v>
      </c>
      <c r="I57">
        <v>0</v>
      </c>
      <c r="J57">
        <v>3900</v>
      </c>
      <c r="O57" t="s">
        <v>21</v>
      </c>
      <c r="P57" t="s">
        <v>147</v>
      </c>
    </row>
    <row r="58" spans="1:16" x14ac:dyDescent="0.3">
      <c r="A58" t="s">
        <v>148</v>
      </c>
      <c r="C58" t="s">
        <v>17</v>
      </c>
      <c r="D58" t="s">
        <v>18</v>
      </c>
      <c r="E58" t="s">
        <v>19</v>
      </c>
      <c r="F58" t="s">
        <v>24</v>
      </c>
      <c r="G58" t="s">
        <v>20</v>
      </c>
      <c r="H58">
        <v>3900</v>
      </c>
      <c r="I58">
        <v>0</v>
      </c>
      <c r="J58">
        <v>3900</v>
      </c>
      <c r="O58" t="s">
        <v>21</v>
      </c>
      <c r="P58" t="s">
        <v>149</v>
      </c>
    </row>
    <row r="59" spans="1:16" x14ac:dyDescent="0.3">
      <c r="A59" t="s">
        <v>150</v>
      </c>
      <c r="B59">
        <v>1.00033260128181E+29</v>
      </c>
      <c r="C59" t="s">
        <v>17</v>
      </c>
      <c r="D59" t="s">
        <v>29</v>
      </c>
      <c r="E59" t="s">
        <v>19</v>
      </c>
      <c r="F59" t="s">
        <v>151</v>
      </c>
      <c r="G59" t="s">
        <v>20</v>
      </c>
      <c r="H59">
        <v>4000</v>
      </c>
      <c r="I59">
        <v>32.25</v>
      </c>
      <c r="J59">
        <v>3967.75</v>
      </c>
      <c r="L59">
        <v>12</v>
      </c>
      <c r="M59">
        <v>2.25</v>
      </c>
      <c r="N59">
        <v>0</v>
      </c>
      <c r="O59" t="s">
        <v>21</v>
      </c>
      <c r="P59" t="s">
        <v>152</v>
      </c>
    </row>
    <row r="60" spans="1:16" x14ac:dyDescent="0.3">
      <c r="A60" t="s">
        <v>153</v>
      </c>
      <c r="C60" t="s">
        <v>17</v>
      </c>
      <c r="D60" t="s">
        <v>18</v>
      </c>
      <c r="E60" t="s">
        <v>19</v>
      </c>
      <c r="G60" t="s">
        <v>20</v>
      </c>
      <c r="H60">
        <v>10071.5</v>
      </c>
      <c r="I60">
        <v>0</v>
      </c>
      <c r="J60">
        <v>10071.5</v>
      </c>
      <c r="O60" t="s">
        <v>21</v>
      </c>
      <c r="P60" t="s">
        <v>154</v>
      </c>
    </row>
    <row r="61" spans="1:16" x14ac:dyDescent="0.3">
      <c r="A61" t="s">
        <v>155</v>
      </c>
      <c r="C61" t="s">
        <v>17</v>
      </c>
      <c r="D61" t="s">
        <v>18</v>
      </c>
      <c r="E61" t="s">
        <v>19</v>
      </c>
      <c r="F61" t="s">
        <v>24</v>
      </c>
      <c r="G61" t="s">
        <v>20</v>
      </c>
      <c r="H61">
        <v>10000</v>
      </c>
      <c r="I61">
        <v>0</v>
      </c>
      <c r="J61">
        <v>10000</v>
      </c>
      <c r="O61" t="s">
        <v>21</v>
      </c>
      <c r="P61" t="s">
        <v>156</v>
      </c>
    </row>
    <row r="62" spans="1:16" x14ac:dyDescent="0.3">
      <c r="A62" t="s">
        <v>157</v>
      </c>
      <c r="C62" t="s">
        <v>17</v>
      </c>
      <c r="D62" t="s">
        <v>18</v>
      </c>
      <c r="E62" t="s">
        <v>19</v>
      </c>
      <c r="F62" t="s">
        <v>24</v>
      </c>
      <c r="G62" t="s">
        <v>20</v>
      </c>
      <c r="H62">
        <v>10000</v>
      </c>
      <c r="I62">
        <v>0</v>
      </c>
      <c r="J62">
        <v>10000</v>
      </c>
      <c r="O62" t="s">
        <v>21</v>
      </c>
      <c r="P62" t="s">
        <v>158</v>
      </c>
    </row>
    <row r="63" spans="1:16" x14ac:dyDescent="0.3">
      <c r="A63" t="s">
        <v>159</v>
      </c>
      <c r="B63">
        <v>1.0003326012812101E+29</v>
      </c>
      <c r="C63" t="s">
        <v>17</v>
      </c>
      <c r="D63" t="s">
        <v>29</v>
      </c>
      <c r="E63" t="s">
        <v>19</v>
      </c>
      <c r="F63" t="s">
        <v>160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161</v>
      </c>
    </row>
    <row r="64" spans="1:16" x14ac:dyDescent="0.3">
      <c r="A64" t="s">
        <v>162</v>
      </c>
      <c r="C64" t="s">
        <v>17</v>
      </c>
      <c r="D64" t="s">
        <v>18</v>
      </c>
      <c r="E64" t="s">
        <v>19</v>
      </c>
      <c r="G64" t="s">
        <v>20</v>
      </c>
      <c r="H64">
        <v>4021.5</v>
      </c>
      <c r="I64">
        <v>0</v>
      </c>
      <c r="J64">
        <v>4021.5</v>
      </c>
      <c r="O64" t="s">
        <v>21</v>
      </c>
      <c r="P64" t="s">
        <v>163</v>
      </c>
    </row>
    <row r="65" spans="1:16" x14ac:dyDescent="0.3">
      <c r="A65" t="s">
        <v>164</v>
      </c>
      <c r="C65" t="s">
        <v>17</v>
      </c>
      <c r="D65" t="s">
        <v>18</v>
      </c>
      <c r="E65" t="s">
        <v>19</v>
      </c>
      <c r="F65" t="s">
        <v>24</v>
      </c>
      <c r="G65" t="s">
        <v>20</v>
      </c>
      <c r="H65">
        <v>4000</v>
      </c>
      <c r="I65">
        <v>0</v>
      </c>
      <c r="J65">
        <v>4000</v>
      </c>
      <c r="O65" t="s">
        <v>21</v>
      </c>
      <c r="P65" t="s">
        <v>165</v>
      </c>
    </row>
    <row r="66" spans="1:16" x14ac:dyDescent="0.3">
      <c r="A66" t="s">
        <v>166</v>
      </c>
      <c r="C66" t="s">
        <v>17</v>
      </c>
      <c r="D66" t="s">
        <v>18</v>
      </c>
      <c r="E66" t="s">
        <v>19</v>
      </c>
      <c r="F66" t="s">
        <v>24</v>
      </c>
      <c r="G66" t="s">
        <v>20</v>
      </c>
      <c r="H66">
        <v>4000</v>
      </c>
      <c r="I66">
        <v>0</v>
      </c>
      <c r="J66">
        <v>4000</v>
      </c>
      <c r="O66" t="s">
        <v>21</v>
      </c>
      <c r="P66" t="s">
        <v>167</v>
      </c>
    </row>
    <row r="67" spans="1:16" x14ac:dyDescent="0.3">
      <c r="A67" t="s">
        <v>168</v>
      </c>
      <c r="B67">
        <v>1.0003326012805101E+29</v>
      </c>
      <c r="C67" t="s">
        <v>17</v>
      </c>
      <c r="D67" t="s">
        <v>29</v>
      </c>
      <c r="E67" t="s">
        <v>19</v>
      </c>
      <c r="F67" t="s">
        <v>169</v>
      </c>
      <c r="G67" t="s">
        <v>20</v>
      </c>
      <c r="H67">
        <v>4000</v>
      </c>
      <c r="I67">
        <v>32.25</v>
      </c>
      <c r="J67">
        <v>3967.75</v>
      </c>
      <c r="L67">
        <v>12</v>
      </c>
      <c r="M67">
        <v>2.25</v>
      </c>
      <c r="N67">
        <v>0</v>
      </c>
      <c r="O67" t="s">
        <v>21</v>
      </c>
      <c r="P67" t="s">
        <v>170</v>
      </c>
    </row>
    <row r="68" spans="1:16" x14ac:dyDescent="0.3">
      <c r="A68" t="s">
        <v>171</v>
      </c>
      <c r="C68" t="s">
        <v>17</v>
      </c>
      <c r="D68" t="s">
        <v>18</v>
      </c>
      <c r="E68" t="s">
        <v>19</v>
      </c>
      <c r="G68" t="s">
        <v>20</v>
      </c>
      <c r="H68">
        <v>8021.5</v>
      </c>
      <c r="I68">
        <v>0</v>
      </c>
      <c r="J68">
        <v>8021.5</v>
      </c>
      <c r="O68" t="s">
        <v>21</v>
      </c>
      <c r="P68" t="s">
        <v>172</v>
      </c>
    </row>
    <row r="69" spans="1:16" x14ac:dyDescent="0.3">
      <c r="A69" t="s">
        <v>173</v>
      </c>
      <c r="C69" t="s">
        <v>17</v>
      </c>
      <c r="D69" t="s">
        <v>18</v>
      </c>
      <c r="E69" t="s">
        <v>19</v>
      </c>
      <c r="G69" t="s">
        <v>20</v>
      </c>
      <c r="H69">
        <v>10071.5</v>
      </c>
      <c r="I69">
        <v>0</v>
      </c>
      <c r="J69">
        <v>10071.5</v>
      </c>
      <c r="O69" t="s">
        <v>21</v>
      </c>
      <c r="P69" t="s">
        <v>174</v>
      </c>
    </row>
    <row r="70" spans="1:16" x14ac:dyDescent="0.3">
      <c r="A70" t="s">
        <v>175</v>
      </c>
      <c r="C70" t="s">
        <v>17</v>
      </c>
      <c r="D70" t="s">
        <v>18</v>
      </c>
      <c r="E70" t="s">
        <v>19</v>
      </c>
      <c r="G70" t="s">
        <v>20</v>
      </c>
      <c r="H70">
        <v>4021.5</v>
      </c>
      <c r="I70">
        <v>0</v>
      </c>
      <c r="J70">
        <v>4021.5</v>
      </c>
      <c r="O70" t="s">
        <v>21</v>
      </c>
      <c r="P70" t="s">
        <v>176</v>
      </c>
    </row>
    <row r="71" spans="1:16" x14ac:dyDescent="0.3">
      <c r="A71" t="s">
        <v>177</v>
      </c>
      <c r="C71" t="s">
        <v>17</v>
      </c>
      <c r="D71" t="s">
        <v>18</v>
      </c>
      <c r="E71" t="s">
        <v>19</v>
      </c>
      <c r="G71" t="s">
        <v>20</v>
      </c>
      <c r="H71">
        <v>22071.5</v>
      </c>
      <c r="I71">
        <v>0</v>
      </c>
      <c r="J71">
        <v>22071.5</v>
      </c>
      <c r="O71" t="s">
        <v>21</v>
      </c>
      <c r="P71" t="s">
        <v>178</v>
      </c>
    </row>
    <row r="72" spans="1:16" x14ac:dyDescent="0.3">
      <c r="A72" t="s">
        <v>179</v>
      </c>
      <c r="C72" t="s">
        <v>17</v>
      </c>
      <c r="D72" t="s">
        <v>18</v>
      </c>
      <c r="E72" t="s">
        <v>19</v>
      </c>
      <c r="G72" t="s">
        <v>20</v>
      </c>
      <c r="H72">
        <v>22071.5</v>
      </c>
      <c r="I72">
        <v>0</v>
      </c>
      <c r="J72">
        <v>22071.5</v>
      </c>
      <c r="O72" t="s">
        <v>21</v>
      </c>
      <c r="P72" t="s">
        <v>180</v>
      </c>
    </row>
    <row r="73" spans="1:16" x14ac:dyDescent="0.3">
      <c r="A73" t="s">
        <v>181</v>
      </c>
      <c r="C73" t="s">
        <v>17</v>
      </c>
      <c r="D73" t="s">
        <v>18</v>
      </c>
      <c r="E73" t="s">
        <v>19</v>
      </c>
      <c r="G73" t="s">
        <v>20</v>
      </c>
      <c r="H73">
        <v>22071.5</v>
      </c>
      <c r="I73">
        <v>0</v>
      </c>
      <c r="J73">
        <v>22071.5</v>
      </c>
      <c r="O73" t="s">
        <v>21</v>
      </c>
      <c r="P73" t="s">
        <v>182</v>
      </c>
    </row>
    <row r="74" spans="1:16" x14ac:dyDescent="0.3">
      <c r="A74" t="s">
        <v>183</v>
      </c>
      <c r="C74" t="s">
        <v>17</v>
      </c>
      <c r="D74" t="s">
        <v>18</v>
      </c>
      <c r="E74" t="s">
        <v>19</v>
      </c>
      <c r="G74" t="s">
        <v>20</v>
      </c>
      <c r="H74">
        <v>22071.5</v>
      </c>
      <c r="I74">
        <v>0</v>
      </c>
      <c r="J74">
        <v>22071.5</v>
      </c>
      <c r="O74" t="s">
        <v>21</v>
      </c>
      <c r="P74" t="s">
        <v>184</v>
      </c>
    </row>
    <row r="75" spans="1:16" x14ac:dyDescent="0.3">
      <c r="A75" t="s">
        <v>185</v>
      </c>
      <c r="C75" t="s">
        <v>17</v>
      </c>
      <c r="D75" t="s">
        <v>18</v>
      </c>
      <c r="E75" t="s">
        <v>19</v>
      </c>
      <c r="G75" t="s">
        <v>20</v>
      </c>
      <c r="H75">
        <v>22071.5</v>
      </c>
      <c r="I75">
        <v>0</v>
      </c>
      <c r="J75">
        <v>22071.5</v>
      </c>
      <c r="O75" t="s">
        <v>21</v>
      </c>
      <c r="P75" t="s">
        <v>186</v>
      </c>
    </row>
    <row r="76" spans="1:16" x14ac:dyDescent="0.3">
      <c r="A76" t="s">
        <v>187</v>
      </c>
      <c r="C76" t="s">
        <v>17</v>
      </c>
      <c r="D76" t="s">
        <v>18</v>
      </c>
      <c r="E76" t="s">
        <v>19</v>
      </c>
      <c r="G76" t="s">
        <v>20</v>
      </c>
      <c r="H76">
        <v>22071.5</v>
      </c>
      <c r="I76">
        <v>0</v>
      </c>
      <c r="J76">
        <v>22071.5</v>
      </c>
      <c r="O76" t="s">
        <v>21</v>
      </c>
      <c r="P76" t="s">
        <v>188</v>
      </c>
    </row>
    <row r="77" spans="1:16" x14ac:dyDescent="0.3">
      <c r="A77" t="s">
        <v>189</v>
      </c>
      <c r="C77" t="s">
        <v>17</v>
      </c>
      <c r="D77" t="s">
        <v>18</v>
      </c>
      <c r="E77" t="s">
        <v>19</v>
      </c>
      <c r="F77" t="s">
        <v>24</v>
      </c>
      <c r="G77" t="s">
        <v>20</v>
      </c>
      <c r="H77">
        <v>2050</v>
      </c>
      <c r="I77">
        <v>0</v>
      </c>
      <c r="J77">
        <v>2050</v>
      </c>
      <c r="O77" t="s">
        <v>21</v>
      </c>
      <c r="P77" t="s">
        <v>190</v>
      </c>
    </row>
    <row r="78" spans="1:16" x14ac:dyDescent="0.3">
      <c r="A78" t="s">
        <v>191</v>
      </c>
      <c r="C78" t="s">
        <v>17</v>
      </c>
      <c r="D78" t="s">
        <v>18</v>
      </c>
      <c r="E78" t="s">
        <v>19</v>
      </c>
      <c r="F78" t="s">
        <v>24</v>
      </c>
      <c r="G78" t="s">
        <v>20</v>
      </c>
      <c r="H78">
        <v>2050</v>
      </c>
      <c r="I78">
        <v>0</v>
      </c>
      <c r="J78">
        <v>2050</v>
      </c>
      <c r="O78" t="s">
        <v>21</v>
      </c>
      <c r="P78" t="s">
        <v>192</v>
      </c>
    </row>
    <row r="79" spans="1:16" x14ac:dyDescent="0.3">
      <c r="A79" t="s">
        <v>193</v>
      </c>
      <c r="B79">
        <v>1.00033260127092E+29</v>
      </c>
      <c r="C79" t="s">
        <v>17</v>
      </c>
      <c r="D79" t="s">
        <v>29</v>
      </c>
      <c r="E79" t="s">
        <v>19</v>
      </c>
      <c r="F79" t="s">
        <v>194</v>
      </c>
      <c r="G79" t="s">
        <v>20</v>
      </c>
      <c r="H79">
        <v>2000</v>
      </c>
      <c r="I79">
        <v>32.25</v>
      </c>
      <c r="J79">
        <v>1967.75</v>
      </c>
      <c r="L79">
        <v>12</v>
      </c>
      <c r="M79">
        <v>2.25</v>
      </c>
      <c r="N79">
        <v>0</v>
      </c>
      <c r="O79" t="s">
        <v>21</v>
      </c>
      <c r="P79" t="s">
        <v>195</v>
      </c>
    </row>
    <row r="80" spans="1:16" x14ac:dyDescent="0.3">
      <c r="A80" t="s">
        <v>196</v>
      </c>
      <c r="C80" t="s">
        <v>17</v>
      </c>
      <c r="D80" t="s">
        <v>18</v>
      </c>
      <c r="E80" t="s">
        <v>19</v>
      </c>
      <c r="G80" t="s">
        <v>20</v>
      </c>
      <c r="H80">
        <v>20071.5</v>
      </c>
      <c r="I80">
        <v>0</v>
      </c>
      <c r="J80">
        <v>20071.5</v>
      </c>
      <c r="O80" t="s">
        <v>21</v>
      </c>
      <c r="P80" t="s">
        <v>197</v>
      </c>
    </row>
    <row r="81" spans="1:16" x14ac:dyDescent="0.3">
      <c r="A81" t="s">
        <v>198</v>
      </c>
      <c r="C81" t="s">
        <v>17</v>
      </c>
      <c r="D81" t="s">
        <v>18</v>
      </c>
      <c r="E81" t="s">
        <v>19</v>
      </c>
      <c r="G81" t="s">
        <v>20</v>
      </c>
      <c r="H81">
        <v>20071.5</v>
      </c>
      <c r="I81">
        <v>0</v>
      </c>
      <c r="J81">
        <v>20071.5</v>
      </c>
      <c r="O81" t="s">
        <v>21</v>
      </c>
      <c r="P81" t="s">
        <v>199</v>
      </c>
    </row>
    <row r="82" spans="1:16" x14ac:dyDescent="0.3">
      <c r="A82" t="s">
        <v>200</v>
      </c>
      <c r="C82" t="s">
        <v>17</v>
      </c>
      <c r="D82" t="s">
        <v>18</v>
      </c>
      <c r="E82" t="s">
        <v>19</v>
      </c>
      <c r="G82" t="s">
        <v>20</v>
      </c>
      <c r="H82">
        <v>20071.5</v>
      </c>
      <c r="I82">
        <v>0</v>
      </c>
      <c r="J82">
        <v>20071.5</v>
      </c>
      <c r="O82" t="s">
        <v>21</v>
      </c>
      <c r="P82" t="s">
        <v>201</v>
      </c>
    </row>
    <row r="83" spans="1:16" x14ac:dyDescent="0.3">
      <c r="A83" t="s">
        <v>202</v>
      </c>
      <c r="C83" t="s">
        <v>17</v>
      </c>
      <c r="D83" t="s">
        <v>18</v>
      </c>
      <c r="E83" t="s">
        <v>19</v>
      </c>
      <c r="G83" t="s">
        <v>20</v>
      </c>
      <c r="H83">
        <v>20071.5</v>
      </c>
      <c r="I83">
        <v>0</v>
      </c>
      <c r="J83">
        <v>20071.5</v>
      </c>
      <c r="O83" t="s">
        <v>21</v>
      </c>
      <c r="P83" t="s">
        <v>203</v>
      </c>
    </row>
    <row r="84" spans="1:16" x14ac:dyDescent="0.3">
      <c r="A84" t="s">
        <v>204</v>
      </c>
      <c r="C84" t="s">
        <v>17</v>
      </c>
      <c r="D84" t="s">
        <v>18</v>
      </c>
      <c r="E84" t="s">
        <v>19</v>
      </c>
      <c r="G84" t="s">
        <v>20</v>
      </c>
      <c r="H84">
        <v>20071.5</v>
      </c>
      <c r="I84">
        <v>0</v>
      </c>
      <c r="J84">
        <v>20071.5</v>
      </c>
      <c r="O84" t="s">
        <v>21</v>
      </c>
      <c r="P84" t="s">
        <v>205</v>
      </c>
    </row>
    <row r="85" spans="1:16" x14ac:dyDescent="0.3">
      <c r="A85" t="s">
        <v>206</v>
      </c>
      <c r="C85" t="s">
        <v>17</v>
      </c>
      <c r="D85" t="s">
        <v>18</v>
      </c>
      <c r="E85" t="s">
        <v>19</v>
      </c>
      <c r="F85" t="s">
        <v>24</v>
      </c>
      <c r="G85" t="s">
        <v>20</v>
      </c>
      <c r="H85">
        <v>2000</v>
      </c>
      <c r="I85">
        <v>0</v>
      </c>
      <c r="J85">
        <v>2000</v>
      </c>
      <c r="O85" t="s">
        <v>21</v>
      </c>
      <c r="P85" t="s">
        <v>207</v>
      </c>
    </row>
    <row r="86" spans="1:16" x14ac:dyDescent="0.3">
      <c r="A86" t="s">
        <v>208</v>
      </c>
      <c r="C86" t="s">
        <v>17</v>
      </c>
      <c r="D86" t="s">
        <v>18</v>
      </c>
      <c r="E86" t="s">
        <v>19</v>
      </c>
      <c r="F86" t="s">
        <v>24</v>
      </c>
      <c r="G86" t="s">
        <v>20</v>
      </c>
      <c r="H86">
        <v>2000</v>
      </c>
      <c r="I86">
        <v>0</v>
      </c>
      <c r="J86">
        <v>2000</v>
      </c>
      <c r="O86" t="s">
        <v>21</v>
      </c>
      <c r="P86" t="s">
        <v>209</v>
      </c>
    </row>
    <row r="87" spans="1:16" x14ac:dyDescent="0.3">
      <c r="A87" t="s">
        <v>210</v>
      </c>
      <c r="B87">
        <v>1.0003326012707E+29</v>
      </c>
      <c r="C87" t="s">
        <v>17</v>
      </c>
      <c r="D87" t="s">
        <v>29</v>
      </c>
      <c r="E87" t="s">
        <v>19</v>
      </c>
      <c r="F87" t="s">
        <v>211</v>
      </c>
      <c r="G87" t="s">
        <v>20</v>
      </c>
      <c r="H87">
        <v>2100</v>
      </c>
      <c r="I87">
        <v>32.25</v>
      </c>
      <c r="J87">
        <v>2067.75</v>
      </c>
      <c r="L87">
        <v>12</v>
      </c>
      <c r="M87">
        <v>2.25</v>
      </c>
      <c r="N87">
        <v>0</v>
      </c>
      <c r="O87" t="s">
        <v>21</v>
      </c>
      <c r="P87" t="s">
        <v>212</v>
      </c>
    </row>
    <row r="88" spans="1:16" x14ac:dyDescent="0.3">
      <c r="A88" t="s">
        <v>213</v>
      </c>
      <c r="C88" t="s">
        <v>17</v>
      </c>
      <c r="D88" t="s">
        <v>18</v>
      </c>
      <c r="E88" t="s">
        <v>19</v>
      </c>
      <c r="G88" t="s">
        <v>20</v>
      </c>
      <c r="H88">
        <v>18071.5</v>
      </c>
      <c r="I88">
        <v>0</v>
      </c>
      <c r="J88">
        <v>18071.5</v>
      </c>
      <c r="O88" t="s">
        <v>21</v>
      </c>
      <c r="P88" t="s">
        <v>214</v>
      </c>
    </row>
    <row r="89" spans="1:16" x14ac:dyDescent="0.3">
      <c r="A89" t="s">
        <v>215</v>
      </c>
      <c r="C89" t="s">
        <v>17</v>
      </c>
      <c r="D89" t="s">
        <v>18</v>
      </c>
      <c r="E89" t="s">
        <v>19</v>
      </c>
      <c r="G89" t="s">
        <v>20</v>
      </c>
      <c r="H89">
        <v>18071.5</v>
      </c>
      <c r="I89">
        <v>0</v>
      </c>
      <c r="J89">
        <v>18071.5</v>
      </c>
      <c r="O89" t="s">
        <v>21</v>
      </c>
      <c r="P89" t="s">
        <v>216</v>
      </c>
    </row>
    <row r="90" spans="1:16" x14ac:dyDescent="0.3">
      <c r="A90" t="s">
        <v>217</v>
      </c>
      <c r="C90" t="s">
        <v>17</v>
      </c>
      <c r="D90" t="s">
        <v>18</v>
      </c>
      <c r="E90" t="s">
        <v>19</v>
      </c>
      <c r="F90" t="s">
        <v>24</v>
      </c>
      <c r="G90" t="s">
        <v>20</v>
      </c>
      <c r="H90">
        <v>3150</v>
      </c>
      <c r="I90">
        <v>0</v>
      </c>
      <c r="J90">
        <v>3150</v>
      </c>
      <c r="O90" t="s">
        <v>21</v>
      </c>
      <c r="P90" t="s">
        <v>218</v>
      </c>
    </row>
    <row r="91" spans="1:16" x14ac:dyDescent="0.3">
      <c r="A91" t="s">
        <v>219</v>
      </c>
      <c r="C91" t="s">
        <v>17</v>
      </c>
      <c r="D91" t="s">
        <v>18</v>
      </c>
      <c r="E91" t="s">
        <v>19</v>
      </c>
      <c r="F91" t="s">
        <v>24</v>
      </c>
      <c r="G91" t="s">
        <v>20</v>
      </c>
      <c r="H91">
        <v>3150</v>
      </c>
      <c r="I91">
        <v>0</v>
      </c>
      <c r="J91">
        <v>3150</v>
      </c>
      <c r="O91" t="s">
        <v>21</v>
      </c>
      <c r="P91" t="s">
        <v>220</v>
      </c>
    </row>
    <row r="92" spans="1:16" x14ac:dyDescent="0.3">
      <c r="A92" t="s">
        <v>221</v>
      </c>
      <c r="B92">
        <v>1.0003326012704E+29</v>
      </c>
      <c r="C92" t="s">
        <v>17</v>
      </c>
      <c r="D92" t="s">
        <v>29</v>
      </c>
      <c r="E92" t="s">
        <v>19</v>
      </c>
      <c r="F92" t="s">
        <v>222</v>
      </c>
      <c r="G92" t="s">
        <v>20</v>
      </c>
      <c r="H92">
        <v>3100</v>
      </c>
      <c r="I92">
        <v>32.25</v>
      </c>
      <c r="J92">
        <v>3067.75</v>
      </c>
      <c r="L92">
        <v>12</v>
      </c>
      <c r="M92">
        <v>2.25</v>
      </c>
      <c r="N92">
        <v>0</v>
      </c>
      <c r="O92" t="s">
        <v>21</v>
      </c>
      <c r="P92" t="s">
        <v>223</v>
      </c>
    </row>
    <row r="93" spans="1:16" x14ac:dyDescent="0.3">
      <c r="A93" t="s">
        <v>224</v>
      </c>
      <c r="C93" t="s">
        <v>17</v>
      </c>
      <c r="D93" t="s">
        <v>18</v>
      </c>
      <c r="E93" t="s">
        <v>19</v>
      </c>
      <c r="G93" t="s">
        <v>20</v>
      </c>
      <c r="H93">
        <v>15071.5</v>
      </c>
      <c r="I93">
        <v>0</v>
      </c>
      <c r="J93">
        <v>15071.5</v>
      </c>
      <c r="O93" t="s">
        <v>21</v>
      </c>
      <c r="P93" t="s">
        <v>225</v>
      </c>
    </row>
    <row r="94" spans="1:16" x14ac:dyDescent="0.3">
      <c r="A94" t="s">
        <v>226</v>
      </c>
      <c r="C94" t="s">
        <v>17</v>
      </c>
      <c r="D94" t="s">
        <v>18</v>
      </c>
      <c r="E94" t="s">
        <v>19</v>
      </c>
      <c r="F94" t="s">
        <v>24</v>
      </c>
      <c r="G94" t="s">
        <v>20</v>
      </c>
      <c r="H94">
        <v>15000</v>
      </c>
      <c r="I94">
        <v>0</v>
      </c>
      <c r="J94">
        <v>15000</v>
      </c>
      <c r="O94" t="s">
        <v>21</v>
      </c>
      <c r="P94" t="s">
        <v>227</v>
      </c>
    </row>
    <row r="95" spans="1:16" x14ac:dyDescent="0.3">
      <c r="A95" t="s">
        <v>228</v>
      </c>
      <c r="C95" t="s">
        <v>17</v>
      </c>
      <c r="D95" t="s">
        <v>18</v>
      </c>
      <c r="E95" t="s">
        <v>19</v>
      </c>
      <c r="F95" t="s">
        <v>24</v>
      </c>
      <c r="G95" t="s">
        <v>20</v>
      </c>
      <c r="H95">
        <v>15000</v>
      </c>
      <c r="I95">
        <v>0</v>
      </c>
      <c r="J95">
        <v>15000</v>
      </c>
      <c r="O95" t="s">
        <v>21</v>
      </c>
      <c r="P95" t="s">
        <v>229</v>
      </c>
    </row>
    <row r="96" spans="1:16" x14ac:dyDescent="0.3">
      <c r="A96" t="s">
        <v>230</v>
      </c>
      <c r="B96">
        <v>1.00033260126223E+29</v>
      </c>
      <c r="C96" t="s">
        <v>17</v>
      </c>
      <c r="D96" t="s">
        <v>29</v>
      </c>
      <c r="E96" t="s">
        <v>19</v>
      </c>
      <c r="F96" t="s">
        <v>231</v>
      </c>
      <c r="G96" t="s">
        <v>20</v>
      </c>
      <c r="H96">
        <v>15200</v>
      </c>
      <c r="I96">
        <v>32.25</v>
      </c>
      <c r="J96">
        <v>15167.75</v>
      </c>
      <c r="L96">
        <v>12</v>
      </c>
      <c r="M96">
        <v>2.25</v>
      </c>
      <c r="N96">
        <v>0</v>
      </c>
      <c r="O96" t="s">
        <v>21</v>
      </c>
      <c r="P96" t="s">
        <v>232</v>
      </c>
    </row>
    <row r="97" spans="1:16" x14ac:dyDescent="0.3">
      <c r="A97" t="s">
        <v>233</v>
      </c>
      <c r="C97" t="s">
        <v>17</v>
      </c>
      <c r="D97" t="s">
        <v>18</v>
      </c>
      <c r="E97" t="s">
        <v>19</v>
      </c>
      <c r="G97" t="s">
        <v>20</v>
      </c>
      <c r="H97">
        <v>15071.5</v>
      </c>
      <c r="I97">
        <v>0</v>
      </c>
      <c r="J97">
        <v>15071.5</v>
      </c>
      <c r="O97" t="s">
        <v>21</v>
      </c>
      <c r="P97" t="s">
        <v>234</v>
      </c>
    </row>
    <row r="98" spans="1:16" x14ac:dyDescent="0.3">
      <c r="A98" t="s">
        <v>235</v>
      </c>
      <c r="C98" t="s">
        <v>17</v>
      </c>
      <c r="D98" t="s">
        <v>18</v>
      </c>
      <c r="E98" t="s">
        <v>19</v>
      </c>
      <c r="F98" t="s">
        <v>24</v>
      </c>
      <c r="G98" t="s">
        <v>20</v>
      </c>
      <c r="H98">
        <v>15000</v>
      </c>
      <c r="I98">
        <v>0</v>
      </c>
      <c r="J98">
        <v>15000</v>
      </c>
      <c r="O98" t="s">
        <v>21</v>
      </c>
      <c r="P98" t="s">
        <v>236</v>
      </c>
    </row>
    <row r="99" spans="1:16" x14ac:dyDescent="0.3">
      <c r="A99" t="s">
        <v>237</v>
      </c>
      <c r="C99" t="s">
        <v>17</v>
      </c>
      <c r="D99" t="s">
        <v>18</v>
      </c>
      <c r="E99" t="s">
        <v>19</v>
      </c>
      <c r="F99" t="s">
        <v>24</v>
      </c>
      <c r="G99" t="s">
        <v>20</v>
      </c>
      <c r="H99">
        <v>15000</v>
      </c>
      <c r="I99">
        <v>0</v>
      </c>
      <c r="J99">
        <v>15000</v>
      </c>
      <c r="O99" t="s">
        <v>21</v>
      </c>
      <c r="P99" t="s">
        <v>238</v>
      </c>
    </row>
    <row r="100" spans="1:16" x14ac:dyDescent="0.3">
      <c r="A100" t="s">
        <v>239</v>
      </c>
      <c r="B100">
        <v>1.0003326012619999E+29</v>
      </c>
      <c r="C100" t="s">
        <v>17</v>
      </c>
      <c r="D100" t="s">
        <v>29</v>
      </c>
      <c r="E100" t="s">
        <v>19</v>
      </c>
      <c r="F100" t="s">
        <v>240</v>
      </c>
      <c r="G100" t="s">
        <v>20</v>
      </c>
      <c r="H100">
        <v>5000</v>
      </c>
      <c r="I100">
        <v>32.25</v>
      </c>
      <c r="J100">
        <v>4967.75</v>
      </c>
      <c r="L100">
        <v>12</v>
      </c>
      <c r="M100">
        <v>2.25</v>
      </c>
      <c r="N100">
        <v>0</v>
      </c>
      <c r="O100" t="s">
        <v>21</v>
      </c>
      <c r="P100" t="s">
        <v>241</v>
      </c>
    </row>
    <row r="101" spans="1:16" x14ac:dyDescent="0.3">
      <c r="A101" t="s">
        <v>242</v>
      </c>
      <c r="B101">
        <v>1.0003326012619999E+29</v>
      </c>
      <c r="C101" t="s">
        <v>17</v>
      </c>
      <c r="D101" t="s">
        <v>29</v>
      </c>
      <c r="E101" t="s">
        <v>19</v>
      </c>
      <c r="F101" t="s">
        <v>243</v>
      </c>
      <c r="G101" t="s">
        <v>20</v>
      </c>
      <c r="H101">
        <v>10050</v>
      </c>
      <c r="I101">
        <v>32.25</v>
      </c>
      <c r="J101">
        <v>10017.75</v>
      </c>
      <c r="L101">
        <v>12</v>
      </c>
      <c r="M101">
        <v>2.25</v>
      </c>
      <c r="N101">
        <v>0</v>
      </c>
      <c r="O101" t="s">
        <v>21</v>
      </c>
      <c r="P101" t="s">
        <v>244</v>
      </c>
    </row>
    <row r="102" spans="1:16" x14ac:dyDescent="0.3">
      <c r="A102" t="s">
        <v>245</v>
      </c>
      <c r="C102" t="s">
        <v>17</v>
      </c>
      <c r="D102" t="s">
        <v>18</v>
      </c>
      <c r="E102" t="s">
        <v>19</v>
      </c>
      <c r="G102" t="s">
        <v>20</v>
      </c>
      <c r="H102">
        <v>18071.5</v>
      </c>
      <c r="I102">
        <v>0</v>
      </c>
      <c r="J102">
        <v>18071.5</v>
      </c>
      <c r="O102" t="s">
        <v>21</v>
      </c>
      <c r="P102" t="s">
        <v>246</v>
      </c>
    </row>
    <row r="103" spans="1:16" x14ac:dyDescent="0.3">
      <c r="A103" t="s">
        <v>247</v>
      </c>
      <c r="C103" t="s">
        <v>17</v>
      </c>
      <c r="D103" t="s">
        <v>18</v>
      </c>
      <c r="E103" t="s">
        <v>19</v>
      </c>
      <c r="G103" t="s">
        <v>20</v>
      </c>
      <c r="H103">
        <v>18071.5</v>
      </c>
      <c r="I103">
        <v>0</v>
      </c>
      <c r="J103">
        <v>18071.5</v>
      </c>
      <c r="O103" t="s">
        <v>21</v>
      </c>
      <c r="P103" t="s">
        <v>248</v>
      </c>
    </row>
    <row r="104" spans="1:16" x14ac:dyDescent="0.3">
      <c r="A104" t="s">
        <v>249</v>
      </c>
      <c r="C104" t="s">
        <v>17</v>
      </c>
      <c r="D104" t="s">
        <v>18</v>
      </c>
      <c r="E104" t="s">
        <v>19</v>
      </c>
      <c r="G104" t="s">
        <v>20</v>
      </c>
      <c r="H104">
        <v>18071.5</v>
      </c>
      <c r="I104">
        <v>0</v>
      </c>
      <c r="J104">
        <v>18071.5</v>
      </c>
      <c r="O104" t="s">
        <v>21</v>
      </c>
      <c r="P104" t="s">
        <v>250</v>
      </c>
    </row>
    <row r="105" spans="1:16" x14ac:dyDescent="0.3">
      <c r="A105" t="s">
        <v>251</v>
      </c>
      <c r="C105" t="s">
        <v>17</v>
      </c>
      <c r="D105" t="s">
        <v>18</v>
      </c>
      <c r="E105" t="s">
        <v>19</v>
      </c>
      <c r="F105" t="s">
        <v>24</v>
      </c>
      <c r="G105" t="s">
        <v>20</v>
      </c>
      <c r="H105">
        <v>18100</v>
      </c>
      <c r="I105">
        <v>0</v>
      </c>
      <c r="J105">
        <v>18100</v>
      </c>
      <c r="O105" t="s">
        <v>21</v>
      </c>
      <c r="P105" t="s">
        <v>252</v>
      </c>
    </row>
    <row r="106" spans="1:16" x14ac:dyDescent="0.3">
      <c r="A106" t="s">
        <v>253</v>
      </c>
      <c r="C106" t="s">
        <v>17</v>
      </c>
      <c r="D106" t="s">
        <v>18</v>
      </c>
      <c r="E106" t="s">
        <v>19</v>
      </c>
      <c r="F106" t="s">
        <v>24</v>
      </c>
      <c r="G106" t="s">
        <v>20</v>
      </c>
      <c r="H106">
        <v>18100</v>
      </c>
      <c r="I106">
        <v>0</v>
      </c>
      <c r="J106">
        <v>18100</v>
      </c>
      <c r="O106" t="s">
        <v>21</v>
      </c>
      <c r="P106" t="s">
        <v>254</v>
      </c>
    </row>
    <row r="107" spans="1:16" x14ac:dyDescent="0.3">
      <c r="A107" t="s">
        <v>255</v>
      </c>
      <c r="B107">
        <v>1.00033260126054E+29</v>
      </c>
      <c r="C107" t="s">
        <v>17</v>
      </c>
      <c r="D107" t="s">
        <v>29</v>
      </c>
      <c r="E107" t="s">
        <v>19</v>
      </c>
      <c r="F107" t="s">
        <v>256</v>
      </c>
      <c r="G107" t="s">
        <v>20</v>
      </c>
      <c r="H107">
        <v>18150</v>
      </c>
      <c r="I107">
        <v>32.25</v>
      </c>
      <c r="J107">
        <v>18117.75</v>
      </c>
      <c r="L107">
        <v>12</v>
      </c>
      <c r="M107">
        <v>2.25</v>
      </c>
      <c r="N107">
        <v>0</v>
      </c>
      <c r="O107" t="s">
        <v>21</v>
      </c>
      <c r="P107" t="s">
        <v>257</v>
      </c>
    </row>
    <row r="108" spans="1:16" x14ac:dyDescent="0.3">
      <c r="A108" t="s">
        <v>258</v>
      </c>
      <c r="C108" t="s">
        <v>17</v>
      </c>
      <c r="D108" t="s">
        <v>18</v>
      </c>
      <c r="E108" t="s">
        <v>19</v>
      </c>
      <c r="G108" t="s">
        <v>20</v>
      </c>
      <c r="H108">
        <v>15071.5</v>
      </c>
      <c r="I108">
        <v>0</v>
      </c>
      <c r="J108">
        <v>15071.5</v>
      </c>
      <c r="O108" t="s">
        <v>21</v>
      </c>
      <c r="P108" t="s">
        <v>259</v>
      </c>
    </row>
    <row r="109" spans="1:16" x14ac:dyDescent="0.3">
      <c r="A109" t="s">
        <v>260</v>
      </c>
      <c r="C109" t="s">
        <v>17</v>
      </c>
      <c r="D109" t="s">
        <v>18</v>
      </c>
      <c r="E109" t="s">
        <v>19</v>
      </c>
      <c r="F109" t="s">
        <v>24</v>
      </c>
      <c r="G109" t="s">
        <v>20</v>
      </c>
      <c r="H109">
        <v>15100</v>
      </c>
      <c r="I109">
        <v>0</v>
      </c>
      <c r="J109">
        <v>15100</v>
      </c>
      <c r="O109" t="s">
        <v>21</v>
      </c>
      <c r="P109" t="s">
        <v>261</v>
      </c>
    </row>
    <row r="110" spans="1:16" x14ac:dyDescent="0.3">
      <c r="A110" t="s">
        <v>262</v>
      </c>
      <c r="C110" t="s">
        <v>17</v>
      </c>
      <c r="D110" t="s">
        <v>18</v>
      </c>
      <c r="E110" t="s">
        <v>19</v>
      </c>
      <c r="F110" t="s">
        <v>24</v>
      </c>
      <c r="G110" t="s">
        <v>20</v>
      </c>
      <c r="H110">
        <v>15100</v>
      </c>
      <c r="I110">
        <v>0</v>
      </c>
      <c r="J110">
        <v>15100</v>
      </c>
      <c r="O110" t="s">
        <v>21</v>
      </c>
      <c r="P110" t="s">
        <v>263</v>
      </c>
    </row>
    <row r="111" spans="1:16" x14ac:dyDescent="0.3">
      <c r="A111" t="s">
        <v>264</v>
      </c>
      <c r="B111">
        <v>1.0003326012521501E+29</v>
      </c>
      <c r="C111" t="s">
        <v>17</v>
      </c>
      <c r="D111" t="s">
        <v>29</v>
      </c>
      <c r="E111" t="s">
        <v>19</v>
      </c>
      <c r="F111" t="s">
        <v>265</v>
      </c>
      <c r="G111" t="s">
        <v>20</v>
      </c>
      <c r="H111">
        <v>15000</v>
      </c>
      <c r="I111">
        <v>32.25</v>
      </c>
      <c r="J111">
        <v>14967.75</v>
      </c>
      <c r="L111">
        <v>12</v>
      </c>
      <c r="M111">
        <v>2.25</v>
      </c>
      <c r="N111">
        <v>0</v>
      </c>
      <c r="O111" t="s">
        <v>21</v>
      </c>
      <c r="P111" t="s">
        <v>266</v>
      </c>
    </row>
    <row r="112" spans="1:16" x14ac:dyDescent="0.3">
      <c r="A112" t="s">
        <v>267</v>
      </c>
      <c r="C112" t="s">
        <v>17</v>
      </c>
      <c r="D112" t="s">
        <v>18</v>
      </c>
      <c r="E112" t="s">
        <v>19</v>
      </c>
      <c r="G112" t="s">
        <v>20</v>
      </c>
      <c r="H112">
        <v>10071.5</v>
      </c>
      <c r="I112">
        <v>0</v>
      </c>
      <c r="J112">
        <v>10071.5</v>
      </c>
      <c r="O112" t="s">
        <v>21</v>
      </c>
      <c r="P112" t="s">
        <v>268</v>
      </c>
    </row>
    <row r="113" spans="1:16" x14ac:dyDescent="0.3">
      <c r="A113" t="s">
        <v>269</v>
      </c>
      <c r="C113" t="s">
        <v>17</v>
      </c>
      <c r="D113" t="s">
        <v>18</v>
      </c>
      <c r="E113" t="s">
        <v>19</v>
      </c>
      <c r="F113" t="s">
        <v>24</v>
      </c>
      <c r="G113" t="s">
        <v>20</v>
      </c>
      <c r="H113">
        <v>10000</v>
      </c>
      <c r="I113">
        <v>0</v>
      </c>
      <c r="J113">
        <v>10000</v>
      </c>
      <c r="O113" t="s">
        <v>21</v>
      </c>
      <c r="P113" t="s">
        <v>270</v>
      </c>
    </row>
    <row r="114" spans="1:16" x14ac:dyDescent="0.3">
      <c r="A114" t="s">
        <v>271</v>
      </c>
      <c r="C114" t="s">
        <v>17</v>
      </c>
      <c r="D114" t="s">
        <v>18</v>
      </c>
      <c r="E114" t="s">
        <v>19</v>
      </c>
      <c r="F114" t="s">
        <v>24</v>
      </c>
      <c r="G114" t="s">
        <v>20</v>
      </c>
      <c r="H114">
        <v>10000</v>
      </c>
      <c r="I114">
        <v>0</v>
      </c>
      <c r="J114">
        <v>10000</v>
      </c>
      <c r="O114" t="s">
        <v>21</v>
      </c>
      <c r="P114" t="s">
        <v>272</v>
      </c>
    </row>
    <row r="115" spans="1:16" x14ac:dyDescent="0.3">
      <c r="A115" t="s">
        <v>273</v>
      </c>
      <c r="B115">
        <v>1.00033260125181E+29</v>
      </c>
      <c r="C115" t="s">
        <v>17</v>
      </c>
      <c r="D115" t="s">
        <v>29</v>
      </c>
      <c r="E115" t="s">
        <v>19</v>
      </c>
      <c r="F115" t="s">
        <v>274</v>
      </c>
      <c r="G115" t="s">
        <v>20</v>
      </c>
      <c r="H115">
        <v>10000</v>
      </c>
      <c r="I115">
        <v>32.25</v>
      </c>
      <c r="J115">
        <v>9967.75</v>
      </c>
      <c r="L115">
        <v>12</v>
      </c>
      <c r="M115">
        <v>2.25</v>
      </c>
      <c r="N115">
        <v>0</v>
      </c>
      <c r="O115" t="s">
        <v>21</v>
      </c>
      <c r="P115" t="s">
        <v>275</v>
      </c>
    </row>
    <row r="116" spans="1:16" x14ac:dyDescent="0.3">
      <c r="A116" t="s">
        <v>276</v>
      </c>
      <c r="C116" t="s">
        <v>17</v>
      </c>
      <c r="D116" t="s">
        <v>18</v>
      </c>
      <c r="E116" t="s">
        <v>19</v>
      </c>
      <c r="G116" t="s">
        <v>20</v>
      </c>
      <c r="H116">
        <v>10071.5</v>
      </c>
      <c r="I116">
        <v>0</v>
      </c>
      <c r="J116">
        <v>10071.5</v>
      </c>
      <c r="O116" t="s">
        <v>21</v>
      </c>
      <c r="P116" t="s">
        <v>277</v>
      </c>
    </row>
    <row r="117" spans="1:16" x14ac:dyDescent="0.3">
      <c r="A117" t="s">
        <v>278</v>
      </c>
      <c r="C117" t="s">
        <v>17</v>
      </c>
      <c r="D117" t="s">
        <v>18</v>
      </c>
      <c r="E117" t="s">
        <v>19</v>
      </c>
      <c r="F117" t="s">
        <v>24</v>
      </c>
      <c r="G117" t="s">
        <v>20</v>
      </c>
      <c r="H117">
        <v>10000</v>
      </c>
      <c r="I117">
        <v>0</v>
      </c>
      <c r="J117">
        <v>10000</v>
      </c>
      <c r="O117" t="s">
        <v>21</v>
      </c>
      <c r="P117" t="s">
        <v>279</v>
      </c>
    </row>
    <row r="118" spans="1:16" x14ac:dyDescent="0.3">
      <c r="A118" t="s">
        <v>280</v>
      </c>
      <c r="C118" t="s">
        <v>17</v>
      </c>
      <c r="D118" t="s">
        <v>18</v>
      </c>
      <c r="E118" t="s">
        <v>19</v>
      </c>
      <c r="F118" t="s">
        <v>24</v>
      </c>
      <c r="G118" t="s">
        <v>20</v>
      </c>
      <c r="H118">
        <v>10000</v>
      </c>
      <c r="I118">
        <v>0</v>
      </c>
      <c r="J118">
        <v>10000</v>
      </c>
      <c r="O118" t="s">
        <v>21</v>
      </c>
      <c r="P118" t="s">
        <v>281</v>
      </c>
    </row>
    <row r="119" spans="1:16" x14ac:dyDescent="0.3">
      <c r="A119" t="s">
        <v>282</v>
      </c>
      <c r="B119">
        <v>1.00033260125092E+29</v>
      </c>
      <c r="C119" t="s">
        <v>17</v>
      </c>
      <c r="D119" t="s">
        <v>29</v>
      </c>
      <c r="E119" t="s">
        <v>19</v>
      </c>
      <c r="F119" t="s">
        <v>283</v>
      </c>
      <c r="G119" t="s">
        <v>20</v>
      </c>
      <c r="H119">
        <v>10000</v>
      </c>
      <c r="I119">
        <v>32.25</v>
      </c>
      <c r="J119">
        <v>9967.75</v>
      </c>
      <c r="L119">
        <v>12</v>
      </c>
      <c r="M119">
        <v>2.25</v>
      </c>
      <c r="N119">
        <v>0</v>
      </c>
      <c r="O119" t="s">
        <v>21</v>
      </c>
      <c r="P119" t="s">
        <v>284</v>
      </c>
    </row>
    <row r="120" spans="1:16" x14ac:dyDescent="0.3">
      <c r="A120" t="s">
        <v>285</v>
      </c>
      <c r="C120" t="s">
        <v>17</v>
      </c>
      <c r="D120" t="s">
        <v>18</v>
      </c>
      <c r="E120" t="s">
        <v>19</v>
      </c>
      <c r="G120" t="s">
        <v>20</v>
      </c>
      <c r="H120">
        <v>15071.5</v>
      </c>
      <c r="I120">
        <v>0</v>
      </c>
      <c r="J120">
        <v>15071.5</v>
      </c>
      <c r="O120" t="s">
        <v>21</v>
      </c>
      <c r="P120" t="s">
        <v>286</v>
      </c>
    </row>
    <row r="121" spans="1:16" x14ac:dyDescent="0.3">
      <c r="A121" t="s">
        <v>287</v>
      </c>
      <c r="C121" t="s">
        <v>17</v>
      </c>
      <c r="D121" t="s">
        <v>18</v>
      </c>
      <c r="E121" t="s">
        <v>19</v>
      </c>
      <c r="F121" t="s">
        <v>24</v>
      </c>
      <c r="G121" t="s">
        <v>20</v>
      </c>
      <c r="H121">
        <v>15000</v>
      </c>
      <c r="I121">
        <v>0</v>
      </c>
      <c r="J121">
        <v>15000</v>
      </c>
      <c r="O121" t="s">
        <v>21</v>
      </c>
      <c r="P121" t="s">
        <v>288</v>
      </c>
    </row>
    <row r="122" spans="1:16" x14ac:dyDescent="0.3">
      <c r="A122" t="s">
        <v>289</v>
      </c>
      <c r="C122" t="s">
        <v>17</v>
      </c>
      <c r="D122" t="s">
        <v>18</v>
      </c>
      <c r="E122" t="s">
        <v>19</v>
      </c>
      <c r="F122" t="s">
        <v>24</v>
      </c>
      <c r="G122" t="s">
        <v>20</v>
      </c>
      <c r="H122">
        <v>15000</v>
      </c>
      <c r="I122">
        <v>0</v>
      </c>
      <c r="J122">
        <v>15000</v>
      </c>
      <c r="O122" t="s">
        <v>21</v>
      </c>
      <c r="P122" t="s">
        <v>290</v>
      </c>
    </row>
    <row r="123" spans="1:16" x14ac:dyDescent="0.3">
      <c r="A123" t="s">
        <v>291</v>
      </c>
      <c r="B123">
        <v>1.00033260124205E+29</v>
      </c>
      <c r="C123" t="s">
        <v>17</v>
      </c>
      <c r="D123" t="s">
        <v>29</v>
      </c>
      <c r="E123" t="s">
        <v>19</v>
      </c>
      <c r="F123" t="s">
        <v>292</v>
      </c>
      <c r="G123" t="s">
        <v>20</v>
      </c>
      <c r="H123">
        <v>15000</v>
      </c>
      <c r="I123">
        <v>32.25</v>
      </c>
      <c r="J123">
        <v>14967.75</v>
      </c>
      <c r="L123">
        <v>12</v>
      </c>
      <c r="M123">
        <v>2.25</v>
      </c>
      <c r="N123">
        <v>0</v>
      </c>
      <c r="O123" t="s">
        <v>21</v>
      </c>
      <c r="P123" t="s">
        <v>293</v>
      </c>
    </row>
    <row r="124" spans="1:16" x14ac:dyDescent="0.3">
      <c r="A124" t="s">
        <v>294</v>
      </c>
      <c r="C124" t="s">
        <v>17</v>
      </c>
      <c r="D124" t="s">
        <v>18</v>
      </c>
      <c r="E124" t="s">
        <v>19</v>
      </c>
      <c r="G124" t="s">
        <v>20</v>
      </c>
      <c r="H124">
        <v>15071.5</v>
      </c>
      <c r="I124">
        <v>0</v>
      </c>
      <c r="J124">
        <v>15071.5</v>
      </c>
      <c r="O124" t="s">
        <v>21</v>
      </c>
      <c r="P124" t="s">
        <v>295</v>
      </c>
    </row>
    <row r="125" spans="1:16" x14ac:dyDescent="0.3">
      <c r="A125" t="s">
        <v>296</v>
      </c>
      <c r="C125" t="s">
        <v>17</v>
      </c>
      <c r="D125" t="s">
        <v>18</v>
      </c>
      <c r="E125" t="s">
        <v>19</v>
      </c>
      <c r="F125" t="s">
        <v>24</v>
      </c>
      <c r="G125" t="s">
        <v>20</v>
      </c>
      <c r="H125">
        <v>15200</v>
      </c>
      <c r="I125">
        <v>0</v>
      </c>
      <c r="J125">
        <v>15200</v>
      </c>
      <c r="O125" t="s">
        <v>21</v>
      </c>
      <c r="P125" t="s">
        <v>297</v>
      </c>
    </row>
    <row r="126" spans="1:16" x14ac:dyDescent="0.3">
      <c r="A126" t="s">
        <v>298</v>
      </c>
      <c r="C126" t="s">
        <v>17</v>
      </c>
      <c r="D126" t="s">
        <v>18</v>
      </c>
      <c r="E126" t="s">
        <v>19</v>
      </c>
      <c r="F126" t="s">
        <v>24</v>
      </c>
      <c r="G126" t="s">
        <v>20</v>
      </c>
      <c r="H126">
        <v>15200</v>
      </c>
      <c r="I126">
        <v>0</v>
      </c>
      <c r="J126">
        <v>15200</v>
      </c>
      <c r="O126" t="s">
        <v>21</v>
      </c>
      <c r="P126" t="s">
        <v>299</v>
      </c>
    </row>
    <row r="127" spans="1:16" x14ac:dyDescent="0.3">
      <c r="A127" t="s">
        <v>300</v>
      </c>
      <c r="B127">
        <v>1.00033260124203E+29</v>
      </c>
      <c r="C127" t="s">
        <v>17</v>
      </c>
      <c r="D127" t="s">
        <v>29</v>
      </c>
      <c r="E127" t="s">
        <v>19</v>
      </c>
      <c r="F127" t="s">
        <v>301</v>
      </c>
      <c r="G127" t="s">
        <v>20</v>
      </c>
      <c r="H127">
        <v>15200</v>
      </c>
      <c r="I127">
        <v>32.25</v>
      </c>
      <c r="J127">
        <v>15167.75</v>
      </c>
      <c r="L127">
        <v>12</v>
      </c>
      <c r="M127">
        <v>2.25</v>
      </c>
      <c r="N127">
        <v>0</v>
      </c>
      <c r="O127" t="s">
        <v>21</v>
      </c>
      <c r="P127" t="s">
        <v>302</v>
      </c>
    </row>
    <row r="128" spans="1:16" x14ac:dyDescent="0.3">
      <c r="A128" t="s">
        <v>303</v>
      </c>
      <c r="C128" t="s">
        <v>17</v>
      </c>
      <c r="D128" t="s">
        <v>18</v>
      </c>
      <c r="E128" t="s">
        <v>19</v>
      </c>
      <c r="G128" t="s">
        <v>20</v>
      </c>
      <c r="H128">
        <v>15071.5</v>
      </c>
      <c r="I128">
        <v>0</v>
      </c>
      <c r="J128">
        <v>15071.5</v>
      </c>
      <c r="O128" t="s">
        <v>21</v>
      </c>
      <c r="P128" t="s">
        <v>304</v>
      </c>
    </row>
    <row r="129" spans="1:16" x14ac:dyDescent="0.3">
      <c r="A129" t="s">
        <v>305</v>
      </c>
      <c r="C129" t="s">
        <v>17</v>
      </c>
      <c r="D129" t="s">
        <v>18</v>
      </c>
      <c r="E129" t="s">
        <v>19</v>
      </c>
      <c r="F129" t="s">
        <v>24</v>
      </c>
      <c r="G129" t="s">
        <v>20</v>
      </c>
      <c r="H129">
        <v>15100</v>
      </c>
      <c r="I129">
        <v>0</v>
      </c>
      <c r="J129">
        <v>15100</v>
      </c>
      <c r="O129" t="s">
        <v>21</v>
      </c>
      <c r="P129" t="s">
        <v>306</v>
      </c>
    </row>
    <row r="130" spans="1:16" x14ac:dyDescent="0.3">
      <c r="A130" t="s">
        <v>307</v>
      </c>
      <c r="C130" t="s">
        <v>17</v>
      </c>
      <c r="D130" t="s">
        <v>18</v>
      </c>
      <c r="E130" t="s">
        <v>19</v>
      </c>
      <c r="F130" t="s">
        <v>24</v>
      </c>
      <c r="G130" t="s">
        <v>20</v>
      </c>
      <c r="H130">
        <v>15100</v>
      </c>
      <c r="I130">
        <v>0</v>
      </c>
      <c r="J130">
        <v>15100</v>
      </c>
      <c r="O130" t="s">
        <v>21</v>
      </c>
      <c r="P130" t="s">
        <v>308</v>
      </c>
    </row>
    <row r="131" spans="1:16" x14ac:dyDescent="0.3">
      <c r="A131" t="s">
        <v>309</v>
      </c>
      <c r="B131">
        <v>1.0003326012411001E+29</v>
      </c>
      <c r="C131" t="s">
        <v>17</v>
      </c>
      <c r="D131" t="s">
        <v>29</v>
      </c>
      <c r="E131" t="s">
        <v>19</v>
      </c>
      <c r="F131" t="s">
        <v>310</v>
      </c>
      <c r="G131" t="s">
        <v>20</v>
      </c>
      <c r="H131">
        <v>15200</v>
      </c>
      <c r="I131">
        <v>32.25</v>
      </c>
      <c r="J131">
        <v>15167.75</v>
      </c>
      <c r="L131">
        <v>12</v>
      </c>
      <c r="M131">
        <v>2.25</v>
      </c>
      <c r="N131">
        <v>0</v>
      </c>
      <c r="O131" t="s">
        <v>21</v>
      </c>
      <c r="P131" t="s">
        <v>311</v>
      </c>
    </row>
    <row r="132" spans="1:16" x14ac:dyDescent="0.3">
      <c r="A132" t="s">
        <v>312</v>
      </c>
      <c r="C132" t="s">
        <v>17</v>
      </c>
      <c r="D132" t="s">
        <v>18</v>
      </c>
      <c r="E132" t="s">
        <v>19</v>
      </c>
      <c r="G132" t="s">
        <v>20</v>
      </c>
      <c r="H132">
        <v>10071.5</v>
      </c>
      <c r="I132">
        <v>0</v>
      </c>
      <c r="J132">
        <v>10071.5</v>
      </c>
      <c r="O132" t="s">
        <v>21</v>
      </c>
      <c r="P132" t="s">
        <v>313</v>
      </c>
    </row>
    <row r="133" spans="1:16" x14ac:dyDescent="0.3">
      <c r="A133" t="s">
        <v>314</v>
      </c>
      <c r="C133" t="s">
        <v>17</v>
      </c>
      <c r="D133" t="s">
        <v>18</v>
      </c>
      <c r="E133" t="s">
        <v>19</v>
      </c>
      <c r="F133" t="s">
        <v>24</v>
      </c>
      <c r="G133" t="s">
        <v>20</v>
      </c>
      <c r="H133">
        <v>10000</v>
      </c>
      <c r="I133">
        <v>0</v>
      </c>
      <c r="J133">
        <v>10000</v>
      </c>
      <c r="O133" t="s">
        <v>21</v>
      </c>
      <c r="P133" t="s">
        <v>315</v>
      </c>
    </row>
    <row r="134" spans="1:16" x14ac:dyDescent="0.3">
      <c r="A134" t="s">
        <v>316</v>
      </c>
      <c r="C134" t="s">
        <v>17</v>
      </c>
      <c r="D134" t="s">
        <v>18</v>
      </c>
      <c r="E134" t="s">
        <v>19</v>
      </c>
      <c r="F134" t="s">
        <v>24</v>
      </c>
      <c r="G134" t="s">
        <v>20</v>
      </c>
      <c r="H134">
        <v>10000</v>
      </c>
      <c r="I134">
        <v>0</v>
      </c>
      <c r="J134">
        <v>10000</v>
      </c>
      <c r="O134" t="s">
        <v>21</v>
      </c>
      <c r="P134" t="s">
        <v>317</v>
      </c>
    </row>
    <row r="135" spans="1:16" x14ac:dyDescent="0.3">
      <c r="A135" t="s">
        <v>318</v>
      </c>
      <c r="B135">
        <v>1.0003326012402199E+29</v>
      </c>
      <c r="C135" t="s">
        <v>17</v>
      </c>
      <c r="D135" t="s">
        <v>29</v>
      </c>
      <c r="E135" t="s">
        <v>19</v>
      </c>
      <c r="F135" t="s">
        <v>319</v>
      </c>
      <c r="G135" t="s">
        <v>20</v>
      </c>
      <c r="H135">
        <v>10000</v>
      </c>
      <c r="I135">
        <v>32.25</v>
      </c>
      <c r="J135">
        <v>9967.75</v>
      </c>
      <c r="L135">
        <v>12</v>
      </c>
      <c r="M135">
        <v>2.25</v>
      </c>
      <c r="N135">
        <v>0</v>
      </c>
      <c r="O135" t="s">
        <v>21</v>
      </c>
      <c r="P135" t="s">
        <v>320</v>
      </c>
    </row>
    <row r="136" spans="1:16" x14ac:dyDescent="0.3">
      <c r="A136" t="s">
        <v>321</v>
      </c>
      <c r="C136" t="s">
        <v>17</v>
      </c>
      <c r="D136" t="s">
        <v>18</v>
      </c>
      <c r="E136" t="s">
        <v>19</v>
      </c>
      <c r="G136" t="s">
        <v>20</v>
      </c>
      <c r="H136">
        <v>15071.5</v>
      </c>
      <c r="I136">
        <v>0</v>
      </c>
      <c r="J136">
        <v>15071.5</v>
      </c>
      <c r="O136" t="s">
        <v>21</v>
      </c>
      <c r="P136" t="s">
        <v>322</v>
      </c>
    </row>
    <row r="137" spans="1:16" x14ac:dyDescent="0.3">
      <c r="A137" t="s">
        <v>323</v>
      </c>
      <c r="C137" t="s">
        <v>17</v>
      </c>
      <c r="D137" t="s">
        <v>18</v>
      </c>
      <c r="E137" t="s">
        <v>19</v>
      </c>
      <c r="F137" t="s">
        <v>24</v>
      </c>
      <c r="G137" t="s">
        <v>20</v>
      </c>
      <c r="H137">
        <v>15000</v>
      </c>
      <c r="I137">
        <v>0</v>
      </c>
      <c r="J137">
        <v>15000</v>
      </c>
      <c r="O137" t="s">
        <v>21</v>
      </c>
      <c r="P137" t="s">
        <v>324</v>
      </c>
    </row>
    <row r="138" spans="1:16" x14ac:dyDescent="0.3">
      <c r="A138" t="s">
        <v>325</v>
      </c>
      <c r="C138" t="s">
        <v>17</v>
      </c>
      <c r="D138" t="s">
        <v>18</v>
      </c>
      <c r="E138" t="s">
        <v>19</v>
      </c>
      <c r="F138" t="s">
        <v>24</v>
      </c>
      <c r="G138" t="s">
        <v>20</v>
      </c>
      <c r="H138">
        <v>15000</v>
      </c>
      <c r="I138">
        <v>0</v>
      </c>
      <c r="J138">
        <v>15000</v>
      </c>
      <c r="O138" t="s">
        <v>21</v>
      </c>
      <c r="P138" t="s">
        <v>326</v>
      </c>
    </row>
    <row r="139" spans="1:16" x14ac:dyDescent="0.3">
      <c r="A139" t="s">
        <v>327</v>
      </c>
      <c r="B139">
        <v>1.0003326012322399E+29</v>
      </c>
      <c r="C139" t="s">
        <v>17</v>
      </c>
      <c r="D139" t="s">
        <v>29</v>
      </c>
      <c r="E139" t="s">
        <v>19</v>
      </c>
      <c r="F139" t="s">
        <v>328</v>
      </c>
      <c r="G139" t="s">
        <v>20</v>
      </c>
      <c r="H139">
        <v>15100</v>
      </c>
      <c r="I139">
        <v>32.25</v>
      </c>
      <c r="J139">
        <v>15067.75</v>
      </c>
      <c r="L139">
        <v>12</v>
      </c>
      <c r="M139">
        <v>2.25</v>
      </c>
      <c r="N139">
        <v>0</v>
      </c>
      <c r="O139" t="s">
        <v>21</v>
      </c>
      <c r="P139" t="s">
        <v>329</v>
      </c>
    </row>
    <row r="140" spans="1:16" x14ac:dyDescent="0.3">
      <c r="A140" t="s">
        <v>330</v>
      </c>
      <c r="C140" t="s">
        <v>17</v>
      </c>
      <c r="D140" t="s">
        <v>18</v>
      </c>
      <c r="E140" t="s">
        <v>19</v>
      </c>
      <c r="G140" t="s">
        <v>20</v>
      </c>
      <c r="H140">
        <v>10071.5</v>
      </c>
      <c r="I140">
        <v>0</v>
      </c>
      <c r="J140">
        <v>10071.5</v>
      </c>
      <c r="O140" t="s">
        <v>21</v>
      </c>
      <c r="P140" t="s">
        <v>331</v>
      </c>
    </row>
    <row r="141" spans="1:16" x14ac:dyDescent="0.3">
      <c r="A141" t="s">
        <v>332</v>
      </c>
      <c r="C141" t="s">
        <v>17</v>
      </c>
      <c r="D141" t="s">
        <v>18</v>
      </c>
      <c r="E141" t="s">
        <v>19</v>
      </c>
      <c r="F141" t="s">
        <v>24</v>
      </c>
      <c r="G141" t="s">
        <v>20</v>
      </c>
      <c r="H141">
        <v>10000</v>
      </c>
      <c r="I141">
        <v>0</v>
      </c>
      <c r="J141">
        <v>10000</v>
      </c>
      <c r="O141" t="s">
        <v>21</v>
      </c>
      <c r="P141" t="s">
        <v>333</v>
      </c>
    </row>
    <row r="142" spans="1:16" x14ac:dyDescent="0.3">
      <c r="A142" t="s">
        <v>334</v>
      </c>
      <c r="C142" t="s">
        <v>17</v>
      </c>
      <c r="D142" t="s">
        <v>18</v>
      </c>
      <c r="E142" t="s">
        <v>19</v>
      </c>
      <c r="F142" t="s">
        <v>24</v>
      </c>
      <c r="G142" t="s">
        <v>20</v>
      </c>
      <c r="H142">
        <v>10000</v>
      </c>
      <c r="I142">
        <v>0</v>
      </c>
      <c r="J142">
        <v>10000</v>
      </c>
      <c r="O142" t="s">
        <v>21</v>
      </c>
      <c r="P142" t="s">
        <v>335</v>
      </c>
    </row>
    <row r="143" spans="1:16" x14ac:dyDescent="0.3">
      <c r="A143" t="s">
        <v>336</v>
      </c>
      <c r="B143">
        <v>1.0003326012318501E+29</v>
      </c>
      <c r="C143" t="s">
        <v>17</v>
      </c>
      <c r="D143" t="s">
        <v>29</v>
      </c>
      <c r="E143" t="s">
        <v>19</v>
      </c>
      <c r="F143" t="s">
        <v>337</v>
      </c>
      <c r="G143" t="s">
        <v>20</v>
      </c>
      <c r="H143">
        <v>10000</v>
      </c>
      <c r="I143">
        <v>32.25</v>
      </c>
      <c r="J143">
        <v>9967.75</v>
      </c>
      <c r="L143">
        <v>12</v>
      </c>
      <c r="M143">
        <v>2.25</v>
      </c>
      <c r="N143">
        <v>0</v>
      </c>
      <c r="O143" t="s">
        <v>21</v>
      </c>
      <c r="P143" t="s">
        <v>338</v>
      </c>
    </row>
    <row r="144" spans="1:16" x14ac:dyDescent="0.3">
      <c r="A144" t="s">
        <v>339</v>
      </c>
      <c r="C144" t="s">
        <v>17</v>
      </c>
      <c r="D144" t="s">
        <v>18</v>
      </c>
      <c r="E144" t="s">
        <v>19</v>
      </c>
      <c r="G144" t="s">
        <v>20</v>
      </c>
      <c r="H144">
        <v>20071.5</v>
      </c>
      <c r="I144">
        <v>0</v>
      </c>
      <c r="J144">
        <v>20071.5</v>
      </c>
      <c r="O144" t="s">
        <v>21</v>
      </c>
      <c r="P144" t="s">
        <v>340</v>
      </c>
    </row>
    <row r="145" spans="1:16" x14ac:dyDescent="0.3">
      <c r="A145" t="s">
        <v>341</v>
      </c>
      <c r="C145" t="s">
        <v>17</v>
      </c>
      <c r="D145" t="s">
        <v>18</v>
      </c>
      <c r="E145" t="s">
        <v>19</v>
      </c>
      <c r="G145" t="s">
        <v>20</v>
      </c>
      <c r="H145">
        <v>20071.5</v>
      </c>
      <c r="I145">
        <v>0</v>
      </c>
      <c r="J145">
        <v>20071.5</v>
      </c>
      <c r="O145" t="s">
        <v>21</v>
      </c>
      <c r="P145" t="s">
        <v>342</v>
      </c>
    </row>
    <row r="146" spans="1:16" x14ac:dyDescent="0.3">
      <c r="A146" t="s">
        <v>343</v>
      </c>
      <c r="C146" t="s">
        <v>17</v>
      </c>
      <c r="D146" t="s">
        <v>18</v>
      </c>
      <c r="E146" t="s">
        <v>19</v>
      </c>
      <c r="G146" t="s">
        <v>20</v>
      </c>
      <c r="H146">
        <v>20071.5</v>
      </c>
      <c r="I146">
        <v>0</v>
      </c>
      <c r="J146">
        <v>20071.5</v>
      </c>
      <c r="O146" t="s">
        <v>21</v>
      </c>
      <c r="P146" t="s">
        <v>344</v>
      </c>
    </row>
    <row r="147" spans="1:16" x14ac:dyDescent="0.3">
      <c r="A147" t="s">
        <v>345</v>
      </c>
      <c r="C147" t="s">
        <v>17</v>
      </c>
      <c r="D147" t="s">
        <v>18</v>
      </c>
      <c r="E147" t="s">
        <v>19</v>
      </c>
      <c r="F147" t="s">
        <v>24</v>
      </c>
      <c r="G147" t="s">
        <v>20</v>
      </c>
      <c r="H147">
        <v>20000</v>
      </c>
      <c r="I147">
        <v>0</v>
      </c>
      <c r="J147">
        <v>20000</v>
      </c>
      <c r="O147" t="s">
        <v>21</v>
      </c>
      <c r="P147" t="s">
        <v>346</v>
      </c>
    </row>
    <row r="148" spans="1:16" x14ac:dyDescent="0.3">
      <c r="A148" t="s">
        <v>347</v>
      </c>
      <c r="C148" t="s">
        <v>17</v>
      </c>
      <c r="D148" t="s">
        <v>18</v>
      </c>
      <c r="E148" t="s">
        <v>19</v>
      </c>
      <c r="F148" t="s">
        <v>24</v>
      </c>
      <c r="G148" t="s">
        <v>20</v>
      </c>
      <c r="H148">
        <v>20000</v>
      </c>
      <c r="I148">
        <v>0</v>
      </c>
      <c r="J148">
        <v>20000</v>
      </c>
      <c r="O148" t="s">
        <v>21</v>
      </c>
      <c r="P148" t="s">
        <v>348</v>
      </c>
    </row>
    <row r="149" spans="1:16" x14ac:dyDescent="0.3">
      <c r="A149" t="s">
        <v>349</v>
      </c>
      <c r="B149">
        <v>1.00033260122184E+29</v>
      </c>
      <c r="C149" t="s">
        <v>17</v>
      </c>
      <c r="D149" t="s">
        <v>29</v>
      </c>
      <c r="E149" t="s">
        <v>19</v>
      </c>
      <c r="F149" t="s">
        <v>350</v>
      </c>
      <c r="G149" t="s">
        <v>20</v>
      </c>
      <c r="H149">
        <v>20100</v>
      </c>
      <c r="I149">
        <v>32.25</v>
      </c>
      <c r="J149">
        <v>20067.75</v>
      </c>
      <c r="L149">
        <v>12</v>
      </c>
      <c r="M149">
        <v>2.25</v>
      </c>
      <c r="N149">
        <v>0</v>
      </c>
      <c r="O149" t="s">
        <v>21</v>
      </c>
      <c r="P149" t="s">
        <v>351</v>
      </c>
    </row>
    <row r="150" spans="1:16" x14ac:dyDescent="0.3">
      <c r="A150" t="s">
        <v>352</v>
      </c>
      <c r="C150" t="s">
        <v>17</v>
      </c>
      <c r="D150" t="s">
        <v>18</v>
      </c>
      <c r="E150" t="s">
        <v>19</v>
      </c>
      <c r="G150" t="s">
        <v>20</v>
      </c>
      <c r="H150">
        <v>4021.5</v>
      </c>
      <c r="I150">
        <v>0</v>
      </c>
      <c r="J150">
        <v>4021.5</v>
      </c>
      <c r="O150" t="s">
        <v>21</v>
      </c>
      <c r="P150" t="s">
        <v>353</v>
      </c>
    </row>
    <row r="151" spans="1:16" x14ac:dyDescent="0.3">
      <c r="A151" t="s">
        <v>354</v>
      </c>
      <c r="C151" t="s">
        <v>17</v>
      </c>
      <c r="D151" t="s">
        <v>18</v>
      </c>
      <c r="E151" t="s">
        <v>19</v>
      </c>
      <c r="F151" t="s">
        <v>24</v>
      </c>
      <c r="G151" t="s">
        <v>20</v>
      </c>
      <c r="H151">
        <v>4000</v>
      </c>
      <c r="I151">
        <v>0</v>
      </c>
      <c r="J151">
        <v>4000</v>
      </c>
      <c r="O151" t="s">
        <v>21</v>
      </c>
      <c r="P151" t="s">
        <v>355</v>
      </c>
    </row>
    <row r="152" spans="1:16" x14ac:dyDescent="0.3">
      <c r="A152" t="s">
        <v>356</v>
      </c>
      <c r="C152" t="s">
        <v>17</v>
      </c>
      <c r="D152" t="s">
        <v>18</v>
      </c>
      <c r="E152" t="s">
        <v>19</v>
      </c>
      <c r="F152" t="s">
        <v>24</v>
      </c>
      <c r="G152" t="s">
        <v>20</v>
      </c>
      <c r="H152">
        <v>4000</v>
      </c>
      <c r="I152">
        <v>0</v>
      </c>
      <c r="J152">
        <v>4000</v>
      </c>
      <c r="O152" t="s">
        <v>21</v>
      </c>
      <c r="P152" t="s">
        <v>357</v>
      </c>
    </row>
    <row r="153" spans="1:16" x14ac:dyDescent="0.3">
      <c r="A153" t="s">
        <v>358</v>
      </c>
      <c r="B153">
        <v>1.00033260122044E+29</v>
      </c>
      <c r="C153" t="s">
        <v>17</v>
      </c>
      <c r="D153" t="s">
        <v>29</v>
      </c>
      <c r="E153" t="s">
        <v>19</v>
      </c>
      <c r="F153" t="s">
        <v>359</v>
      </c>
      <c r="G153" t="s">
        <v>20</v>
      </c>
      <c r="H153">
        <v>4000</v>
      </c>
      <c r="I153">
        <v>32.25</v>
      </c>
      <c r="J153">
        <v>3967.75</v>
      </c>
      <c r="L153">
        <v>12</v>
      </c>
      <c r="M153">
        <v>2.25</v>
      </c>
      <c r="N153">
        <v>0</v>
      </c>
      <c r="O153" t="s">
        <v>21</v>
      </c>
      <c r="P153" t="s">
        <v>360</v>
      </c>
    </row>
    <row r="154" spans="1:16" x14ac:dyDescent="0.3">
      <c r="A154" t="s">
        <v>361</v>
      </c>
      <c r="C154" t="s">
        <v>17</v>
      </c>
      <c r="D154" t="s">
        <v>18</v>
      </c>
      <c r="E154" t="s">
        <v>19</v>
      </c>
      <c r="G154" t="s">
        <v>20</v>
      </c>
      <c r="H154">
        <v>15071.5</v>
      </c>
      <c r="I154">
        <v>0</v>
      </c>
      <c r="J154">
        <v>15071.5</v>
      </c>
      <c r="O154" t="s">
        <v>21</v>
      </c>
      <c r="P154" t="s">
        <v>362</v>
      </c>
    </row>
    <row r="155" spans="1:16" x14ac:dyDescent="0.3">
      <c r="A155" t="s">
        <v>363</v>
      </c>
      <c r="C155" t="s">
        <v>17</v>
      </c>
      <c r="D155" t="s">
        <v>18</v>
      </c>
      <c r="E155" t="s">
        <v>19</v>
      </c>
      <c r="F155" t="s">
        <v>24</v>
      </c>
      <c r="G155" t="s">
        <v>20</v>
      </c>
      <c r="H155">
        <v>15100</v>
      </c>
      <c r="I155">
        <v>0</v>
      </c>
      <c r="J155">
        <v>15100</v>
      </c>
      <c r="O155" t="s">
        <v>21</v>
      </c>
      <c r="P155" t="s">
        <v>364</v>
      </c>
    </row>
    <row r="156" spans="1:16" x14ac:dyDescent="0.3">
      <c r="A156" t="s">
        <v>365</v>
      </c>
      <c r="C156" t="s">
        <v>17</v>
      </c>
      <c r="D156" t="s">
        <v>18</v>
      </c>
      <c r="E156" t="s">
        <v>19</v>
      </c>
      <c r="F156" t="s">
        <v>24</v>
      </c>
      <c r="G156" t="s">
        <v>20</v>
      </c>
      <c r="H156">
        <v>15100</v>
      </c>
      <c r="I156">
        <v>0</v>
      </c>
      <c r="J156">
        <v>15100</v>
      </c>
      <c r="O156" t="s">
        <v>21</v>
      </c>
      <c r="P156" t="s">
        <v>366</v>
      </c>
    </row>
    <row r="157" spans="1:16" x14ac:dyDescent="0.3">
      <c r="A157" t="s">
        <v>367</v>
      </c>
      <c r="B157">
        <v>1.00033260121222E+29</v>
      </c>
      <c r="C157" t="s">
        <v>17</v>
      </c>
      <c r="D157" t="s">
        <v>29</v>
      </c>
      <c r="E157" t="s">
        <v>19</v>
      </c>
      <c r="F157" t="s">
        <v>368</v>
      </c>
      <c r="G157" t="s">
        <v>20</v>
      </c>
      <c r="H157">
        <v>15200</v>
      </c>
      <c r="I157">
        <v>32.25</v>
      </c>
      <c r="J157">
        <v>15167.75</v>
      </c>
      <c r="L157">
        <v>12</v>
      </c>
      <c r="M157">
        <v>2.25</v>
      </c>
      <c r="N157">
        <v>0</v>
      </c>
      <c r="O157" t="s">
        <v>21</v>
      </c>
      <c r="P157" t="s">
        <v>369</v>
      </c>
    </row>
    <row r="158" spans="1:16" x14ac:dyDescent="0.3">
      <c r="A158" t="s">
        <v>370</v>
      </c>
      <c r="C158" t="s">
        <v>17</v>
      </c>
      <c r="D158" t="s">
        <v>18</v>
      </c>
      <c r="E158" t="s">
        <v>19</v>
      </c>
      <c r="G158" t="s">
        <v>20</v>
      </c>
      <c r="H158">
        <v>30071.5</v>
      </c>
      <c r="I158">
        <v>0</v>
      </c>
      <c r="J158">
        <v>30071.5</v>
      </c>
      <c r="O158" t="s">
        <v>21</v>
      </c>
      <c r="P158" t="s">
        <v>371</v>
      </c>
    </row>
    <row r="159" spans="1:16" x14ac:dyDescent="0.3">
      <c r="A159" t="s">
        <v>372</v>
      </c>
      <c r="C159" t="s">
        <v>17</v>
      </c>
      <c r="D159" t="s">
        <v>18</v>
      </c>
      <c r="E159" t="s">
        <v>19</v>
      </c>
      <c r="F159" t="s">
        <v>24</v>
      </c>
      <c r="G159" t="s">
        <v>20</v>
      </c>
      <c r="H159">
        <v>15000</v>
      </c>
      <c r="I159">
        <v>0</v>
      </c>
      <c r="J159">
        <v>15000</v>
      </c>
      <c r="O159" t="s">
        <v>21</v>
      </c>
      <c r="P159" t="s">
        <v>373</v>
      </c>
    </row>
    <row r="160" spans="1:16" x14ac:dyDescent="0.3">
      <c r="A160" t="s">
        <v>374</v>
      </c>
      <c r="C160" t="s">
        <v>17</v>
      </c>
      <c r="D160" t="s">
        <v>18</v>
      </c>
      <c r="E160" t="s">
        <v>19</v>
      </c>
      <c r="F160" t="s">
        <v>24</v>
      </c>
      <c r="G160" t="s">
        <v>20</v>
      </c>
      <c r="H160">
        <v>15000</v>
      </c>
      <c r="I160">
        <v>0</v>
      </c>
      <c r="J160">
        <v>15000</v>
      </c>
      <c r="O160" t="s">
        <v>21</v>
      </c>
      <c r="P160" t="s">
        <v>375</v>
      </c>
    </row>
    <row r="161" spans="1:16" x14ac:dyDescent="0.3">
      <c r="A161" t="s">
        <v>376</v>
      </c>
      <c r="B161">
        <v>1.0003326012022101E+29</v>
      </c>
      <c r="C161" t="s">
        <v>17</v>
      </c>
      <c r="D161" t="s">
        <v>29</v>
      </c>
      <c r="E161" t="s">
        <v>19</v>
      </c>
      <c r="F161" t="s">
        <v>377</v>
      </c>
      <c r="G161" t="s">
        <v>20</v>
      </c>
      <c r="H161">
        <v>15000</v>
      </c>
      <c r="I161">
        <v>32.25</v>
      </c>
      <c r="J161">
        <v>14967.75</v>
      </c>
      <c r="L161">
        <v>12</v>
      </c>
      <c r="M161">
        <v>2.25</v>
      </c>
      <c r="N161">
        <v>0</v>
      </c>
      <c r="O161" t="s">
        <v>21</v>
      </c>
      <c r="P161" t="s">
        <v>378</v>
      </c>
    </row>
    <row r="162" spans="1:16" x14ac:dyDescent="0.3">
      <c r="A162" t="s">
        <v>379</v>
      </c>
      <c r="C162" t="s">
        <v>17</v>
      </c>
      <c r="D162" t="s">
        <v>18</v>
      </c>
      <c r="E162" t="s">
        <v>19</v>
      </c>
      <c r="G162" t="s">
        <v>20</v>
      </c>
      <c r="H162">
        <v>15071.5</v>
      </c>
      <c r="I162">
        <v>0</v>
      </c>
      <c r="J162">
        <v>15071.5</v>
      </c>
      <c r="O162" t="s">
        <v>21</v>
      </c>
      <c r="P162" t="s">
        <v>380</v>
      </c>
    </row>
    <row r="163" spans="1:16" x14ac:dyDescent="0.3">
      <c r="A163" t="s">
        <v>381</v>
      </c>
      <c r="C163" t="s">
        <v>17</v>
      </c>
      <c r="D163" t="s">
        <v>18</v>
      </c>
      <c r="E163" t="s">
        <v>19</v>
      </c>
      <c r="F163" t="s">
        <v>24</v>
      </c>
      <c r="G163" t="s">
        <v>20</v>
      </c>
      <c r="H163">
        <v>15000</v>
      </c>
      <c r="I163">
        <v>0</v>
      </c>
      <c r="J163">
        <v>15000</v>
      </c>
      <c r="O163" t="s">
        <v>21</v>
      </c>
      <c r="P163" t="s">
        <v>382</v>
      </c>
    </row>
    <row r="164" spans="1:16" x14ac:dyDescent="0.3">
      <c r="A164" t="s">
        <v>383</v>
      </c>
      <c r="C164" t="s">
        <v>17</v>
      </c>
      <c r="D164" t="s">
        <v>18</v>
      </c>
      <c r="E164" t="s">
        <v>19</v>
      </c>
      <c r="F164" t="s">
        <v>24</v>
      </c>
      <c r="G164" t="s">
        <v>20</v>
      </c>
      <c r="H164">
        <v>15000</v>
      </c>
      <c r="I164">
        <v>0</v>
      </c>
      <c r="J164">
        <v>15000</v>
      </c>
      <c r="O164" t="s">
        <v>21</v>
      </c>
      <c r="P164" t="s">
        <v>384</v>
      </c>
    </row>
    <row r="165" spans="1:16" x14ac:dyDescent="0.3">
      <c r="A165" t="s">
        <v>385</v>
      </c>
      <c r="B165">
        <v>1.00033260119222E+29</v>
      </c>
      <c r="C165" t="s">
        <v>17</v>
      </c>
      <c r="D165" t="s">
        <v>29</v>
      </c>
      <c r="E165" t="s">
        <v>19</v>
      </c>
      <c r="F165" t="s">
        <v>386</v>
      </c>
      <c r="G165" t="s">
        <v>20</v>
      </c>
      <c r="H165">
        <v>15000</v>
      </c>
      <c r="I165">
        <v>32.25</v>
      </c>
      <c r="J165">
        <v>14967.75</v>
      </c>
      <c r="L165">
        <v>12</v>
      </c>
      <c r="M165">
        <v>2.25</v>
      </c>
      <c r="N165">
        <v>0</v>
      </c>
      <c r="O165" t="s">
        <v>21</v>
      </c>
      <c r="P165" t="s">
        <v>387</v>
      </c>
    </row>
    <row r="166" spans="1:16" x14ac:dyDescent="0.3">
      <c r="A166" t="s">
        <v>388</v>
      </c>
      <c r="C166" t="s">
        <v>17</v>
      </c>
      <c r="D166" t="s">
        <v>18</v>
      </c>
      <c r="E166" t="s">
        <v>19</v>
      </c>
      <c r="G166" t="s">
        <v>20</v>
      </c>
      <c r="H166">
        <v>15271.5</v>
      </c>
      <c r="I166">
        <v>0</v>
      </c>
      <c r="J166">
        <v>15271.5</v>
      </c>
      <c r="O166" t="s">
        <v>21</v>
      </c>
      <c r="P166" t="s">
        <v>389</v>
      </c>
    </row>
    <row r="167" spans="1:16" x14ac:dyDescent="0.3">
      <c r="A167" t="s">
        <v>390</v>
      </c>
      <c r="C167" t="s">
        <v>17</v>
      </c>
      <c r="D167" t="s">
        <v>18</v>
      </c>
      <c r="E167" t="s">
        <v>19</v>
      </c>
      <c r="F167" t="s">
        <v>24</v>
      </c>
      <c r="G167" t="s">
        <v>20</v>
      </c>
      <c r="H167">
        <v>15300</v>
      </c>
      <c r="I167">
        <v>0</v>
      </c>
      <c r="J167">
        <v>15300</v>
      </c>
      <c r="O167" t="s">
        <v>21</v>
      </c>
      <c r="P167" t="s">
        <v>391</v>
      </c>
    </row>
    <row r="168" spans="1:16" x14ac:dyDescent="0.3">
      <c r="A168" t="s">
        <v>392</v>
      </c>
      <c r="C168" t="s">
        <v>17</v>
      </c>
      <c r="D168" t="s">
        <v>18</v>
      </c>
      <c r="E168" t="s">
        <v>19</v>
      </c>
      <c r="F168" t="s">
        <v>24</v>
      </c>
      <c r="G168" t="s">
        <v>20</v>
      </c>
      <c r="H168">
        <v>15300</v>
      </c>
      <c r="I168">
        <v>0</v>
      </c>
      <c r="J168">
        <v>15300</v>
      </c>
      <c r="O168" t="s">
        <v>21</v>
      </c>
      <c r="P168" t="s">
        <v>393</v>
      </c>
    </row>
    <row r="169" spans="1:16" x14ac:dyDescent="0.3">
      <c r="A169" t="s">
        <v>394</v>
      </c>
      <c r="B169">
        <v>1.00033260118213E+29</v>
      </c>
      <c r="C169" t="s">
        <v>17</v>
      </c>
      <c r="D169" t="s">
        <v>29</v>
      </c>
      <c r="E169" t="s">
        <v>19</v>
      </c>
      <c r="F169" t="s">
        <v>395</v>
      </c>
      <c r="G169" t="s">
        <v>20</v>
      </c>
      <c r="H169">
        <v>15200</v>
      </c>
      <c r="I169">
        <v>32.25</v>
      </c>
      <c r="J169">
        <v>15167.75</v>
      </c>
      <c r="L169">
        <v>12</v>
      </c>
      <c r="M169">
        <v>2.25</v>
      </c>
      <c r="N169">
        <v>0</v>
      </c>
      <c r="O169" t="s">
        <v>21</v>
      </c>
      <c r="P169" t="s">
        <v>396</v>
      </c>
    </row>
    <row r="170" spans="1:16" x14ac:dyDescent="0.3">
      <c r="A170" t="s">
        <v>397</v>
      </c>
      <c r="C170" t="s">
        <v>17</v>
      </c>
      <c r="D170" t="s">
        <v>18</v>
      </c>
      <c r="E170" t="s">
        <v>19</v>
      </c>
      <c r="G170" t="s">
        <v>20</v>
      </c>
      <c r="H170">
        <v>15071.5</v>
      </c>
      <c r="I170">
        <v>0</v>
      </c>
      <c r="J170">
        <v>15071.5</v>
      </c>
      <c r="O170" t="s">
        <v>21</v>
      </c>
      <c r="P170" t="s">
        <v>398</v>
      </c>
    </row>
    <row r="171" spans="1:16" x14ac:dyDescent="0.3">
      <c r="A171" t="s">
        <v>399</v>
      </c>
      <c r="C171" t="s">
        <v>17</v>
      </c>
      <c r="D171" t="s">
        <v>18</v>
      </c>
      <c r="E171" t="s">
        <v>19</v>
      </c>
      <c r="F171" t="s">
        <v>24</v>
      </c>
      <c r="G171" t="s">
        <v>20</v>
      </c>
      <c r="H171">
        <v>15200</v>
      </c>
      <c r="I171">
        <v>0</v>
      </c>
      <c r="J171">
        <v>15200</v>
      </c>
      <c r="O171" t="s">
        <v>21</v>
      </c>
      <c r="P171" t="s">
        <v>400</v>
      </c>
    </row>
    <row r="172" spans="1:16" x14ac:dyDescent="0.3">
      <c r="A172" t="s">
        <v>401</v>
      </c>
      <c r="C172" t="s">
        <v>17</v>
      </c>
      <c r="D172" t="s">
        <v>18</v>
      </c>
      <c r="E172" t="s">
        <v>19</v>
      </c>
      <c r="F172" t="s">
        <v>24</v>
      </c>
      <c r="G172" t="s">
        <v>20</v>
      </c>
      <c r="H172">
        <v>15200</v>
      </c>
      <c r="I172">
        <v>0</v>
      </c>
      <c r="J172">
        <v>15200</v>
      </c>
      <c r="O172" t="s">
        <v>21</v>
      </c>
      <c r="P172" t="s">
        <v>402</v>
      </c>
    </row>
    <row r="173" spans="1:16" x14ac:dyDescent="0.3">
      <c r="A173" t="s">
        <v>403</v>
      </c>
      <c r="C173" t="s">
        <v>17</v>
      </c>
      <c r="D173" t="s">
        <v>404</v>
      </c>
      <c r="E173" t="s">
        <v>19</v>
      </c>
      <c r="F173" t="s">
        <v>405</v>
      </c>
      <c r="G173" t="s">
        <v>20</v>
      </c>
      <c r="H173">
        <v>14819</v>
      </c>
      <c r="I173">
        <v>0</v>
      </c>
      <c r="J173">
        <v>0</v>
      </c>
      <c r="O173" t="s">
        <v>21</v>
      </c>
      <c r="P173" t="s">
        <v>406</v>
      </c>
    </row>
    <row r="174" spans="1:16" x14ac:dyDescent="0.3">
      <c r="A174" t="s">
        <v>407</v>
      </c>
      <c r="C174" t="s">
        <v>17</v>
      </c>
      <c r="D174" t="s">
        <v>408</v>
      </c>
      <c r="E174" t="s">
        <v>409</v>
      </c>
      <c r="G174" t="s">
        <v>20</v>
      </c>
      <c r="H174">
        <v>14900</v>
      </c>
      <c r="I174">
        <v>80.087500000000006</v>
      </c>
      <c r="J174">
        <v>14819.9125</v>
      </c>
      <c r="O174" t="s">
        <v>21</v>
      </c>
      <c r="P174" t="s">
        <v>410</v>
      </c>
    </row>
    <row r="175" spans="1:16" x14ac:dyDescent="0.3">
      <c r="A175" t="s">
        <v>411</v>
      </c>
      <c r="C175" t="s">
        <v>17</v>
      </c>
      <c r="D175" t="s">
        <v>408</v>
      </c>
      <c r="E175" t="s">
        <v>409</v>
      </c>
      <c r="G175" t="s">
        <v>20</v>
      </c>
      <c r="H175">
        <v>15100</v>
      </c>
      <c r="I175">
        <v>81.162499999999994</v>
      </c>
      <c r="J175">
        <v>15018.8375</v>
      </c>
      <c r="O175" t="s">
        <v>412</v>
      </c>
      <c r="P175" t="s">
        <v>413</v>
      </c>
    </row>
    <row r="176" spans="1:16" x14ac:dyDescent="0.3">
      <c r="A176" t="s">
        <v>414</v>
      </c>
      <c r="C176" t="s">
        <v>17</v>
      </c>
      <c r="D176" t="s">
        <v>408</v>
      </c>
      <c r="E176" t="s">
        <v>409</v>
      </c>
      <c r="G176" t="s">
        <v>20</v>
      </c>
      <c r="H176">
        <v>15200</v>
      </c>
      <c r="I176">
        <v>81.7</v>
      </c>
      <c r="J176">
        <v>15118.3</v>
      </c>
      <c r="O176" t="s">
        <v>412</v>
      </c>
      <c r="P176" t="s">
        <v>415</v>
      </c>
    </row>
    <row r="177" spans="1:16" x14ac:dyDescent="0.3">
      <c r="A177" t="s">
        <v>416</v>
      </c>
      <c r="B177">
        <v>1.00033260117191E+29</v>
      </c>
      <c r="C177" t="s">
        <v>17</v>
      </c>
      <c r="D177" t="s">
        <v>29</v>
      </c>
      <c r="E177" t="s">
        <v>19</v>
      </c>
      <c r="F177" t="s">
        <v>417</v>
      </c>
      <c r="G177" t="s">
        <v>20</v>
      </c>
      <c r="H177">
        <v>500</v>
      </c>
      <c r="I177">
        <v>32.25</v>
      </c>
      <c r="J177">
        <v>467.75</v>
      </c>
      <c r="L177">
        <v>12</v>
      </c>
      <c r="M177">
        <v>2.25</v>
      </c>
      <c r="N177">
        <v>0</v>
      </c>
      <c r="O177" t="s">
        <v>21</v>
      </c>
      <c r="P177" t="s">
        <v>418</v>
      </c>
    </row>
    <row r="178" spans="1:16" x14ac:dyDescent="0.3">
      <c r="A178" t="s">
        <v>419</v>
      </c>
      <c r="C178" t="s">
        <v>17</v>
      </c>
      <c r="D178" t="s">
        <v>18</v>
      </c>
      <c r="E178" t="s">
        <v>19</v>
      </c>
      <c r="G178" t="s">
        <v>20</v>
      </c>
      <c r="H178">
        <v>15071.5</v>
      </c>
      <c r="I178">
        <v>0</v>
      </c>
      <c r="J178">
        <v>15071.5</v>
      </c>
      <c r="O178" t="s">
        <v>21</v>
      </c>
      <c r="P178" t="s">
        <v>420</v>
      </c>
    </row>
    <row r="179" spans="1:16" x14ac:dyDescent="0.3">
      <c r="A179" t="s">
        <v>421</v>
      </c>
      <c r="C179" t="s">
        <v>17</v>
      </c>
      <c r="D179" t="s">
        <v>18</v>
      </c>
      <c r="E179" t="s">
        <v>19</v>
      </c>
      <c r="F179" t="s">
        <v>24</v>
      </c>
      <c r="G179" t="s">
        <v>20</v>
      </c>
      <c r="H179">
        <v>15000</v>
      </c>
      <c r="I179">
        <v>0</v>
      </c>
      <c r="J179">
        <v>15000</v>
      </c>
      <c r="O179" t="s">
        <v>21</v>
      </c>
      <c r="P179" t="s">
        <v>422</v>
      </c>
    </row>
    <row r="180" spans="1:16" x14ac:dyDescent="0.3">
      <c r="A180" t="s">
        <v>423</v>
      </c>
      <c r="C180" t="s">
        <v>17</v>
      </c>
      <c r="D180" t="s">
        <v>18</v>
      </c>
      <c r="E180" t="s">
        <v>19</v>
      </c>
      <c r="F180" t="s">
        <v>24</v>
      </c>
      <c r="G180" t="s">
        <v>20</v>
      </c>
      <c r="H180">
        <v>15000</v>
      </c>
      <c r="I180">
        <v>0</v>
      </c>
      <c r="J180">
        <v>15000</v>
      </c>
      <c r="O180" t="s">
        <v>21</v>
      </c>
      <c r="P180" t="s">
        <v>424</v>
      </c>
    </row>
    <row r="181" spans="1:16" x14ac:dyDescent="0.3">
      <c r="A181" t="s">
        <v>425</v>
      </c>
      <c r="C181" t="s">
        <v>17</v>
      </c>
      <c r="D181" t="s">
        <v>404</v>
      </c>
      <c r="E181" t="s">
        <v>19</v>
      </c>
      <c r="F181" t="s">
        <v>426</v>
      </c>
      <c r="G181" t="s">
        <v>20</v>
      </c>
      <c r="H181">
        <v>15118</v>
      </c>
      <c r="I181">
        <v>0</v>
      </c>
      <c r="J181">
        <v>0</v>
      </c>
      <c r="O181" t="s">
        <v>21</v>
      </c>
      <c r="P181" t="s">
        <v>427</v>
      </c>
    </row>
    <row r="182" spans="1:16" x14ac:dyDescent="0.3">
      <c r="A182" t="s">
        <v>428</v>
      </c>
      <c r="C182" t="s">
        <v>17</v>
      </c>
      <c r="D182" t="s">
        <v>408</v>
      </c>
      <c r="E182" t="s">
        <v>409</v>
      </c>
      <c r="G182" t="s">
        <v>20</v>
      </c>
      <c r="H182">
        <v>15200</v>
      </c>
      <c r="I182">
        <v>81.7</v>
      </c>
      <c r="J182">
        <v>15118.3</v>
      </c>
      <c r="O182" t="s">
        <v>21</v>
      </c>
      <c r="P182" t="s">
        <v>429</v>
      </c>
    </row>
    <row r="183" spans="1:16" x14ac:dyDescent="0.3">
      <c r="A183" t="s">
        <v>430</v>
      </c>
      <c r="C183" t="s">
        <v>17</v>
      </c>
      <c r="D183" t="s">
        <v>18</v>
      </c>
      <c r="E183" t="s">
        <v>19</v>
      </c>
      <c r="G183" t="s">
        <v>20</v>
      </c>
      <c r="H183">
        <v>15071.5</v>
      </c>
      <c r="I183">
        <v>0</v>
      </c>
      <c r="J183">
        <v>15071.5</v>
      </c>
      <c r="O183" t="s">
        <v>21</v>
      </c>
      <c r="P183" t="s">
        <v>431</v>
      </c>
    </row>
    <row r="184" spans="1:16" x14ac:dyDescent="0.3">
      <c r="A184" t="s">
        <v>432</v>
      </c>
      <c r="C184" t="s">
        <v>17</v>
      </c>
      <c r="D184" t="s">
        <v>18</v>
      </c>
      <c r="E184" t="s">
        <v>19</v>
      </c>
      <c r="F184" t="s">
        <v>24</v>
      </c>
      <c r="G184" t="s">
        <v>20</v>
      </c>
      <c r="H184">
        <v>15100</v>
      </c>
      <c r="I184">
        <v>0</v>
      </c>
      <c r="J184">
        <v>15100</v>
      </c>
      <c r="O184" t="s">
        <v>21</v>
      </c>
      <c r="P184" t="s">
        <v>433</v>
      </c>
    </row>
    <row r="185" spans="1:16" x14ac:dyDescent="0.3">
      <c r="A185" t="s">
        <v>434</v>
      </c>
      <c r="C185" t="s">
        <v>17</v>
      </c>
      <c r="D185" t="s">
        <v>18</v>
      </c>
      <c r="E185" t="s">
        <v>19</v>
      </c>
      <c r="F185" t="s">
        <v>24</v>
      </c>
      <c r="G185" t="s">
        <v>20</v>
      </c>
      <c r="H185">
        <v>15100</v>
      </c>
      <c r="I185">
        <v>0</v>
      </c>
      <c r="J185">
        <v>15100</v>
      </c>
      <c r="O185" t="s">
        <v>21</v>
      </c>
      <c r="P185" t="s">
        <v>435</v>
      </c>
    </row>
    <row r="186" spans="1:16" x14ac:dyDescent="0.3">
      <c r="A186" t="s">
        <v>436</v>
      </c>
      <c r="C186" t="s">
        <v>17</v>
      </c>
      <c r="D186" t="s">
        <v>404</v>
      </c>
      <c r="E186" t="s">
        <v>19</v>
      </c>
      <c r="F186" t="s">
        <v>437</v>
      </c>
      <c r="G186" t="s">
        <v>20</v>
      </c>
      <c r="H186">
        <v>15118</v>
      </c>
      <c r="I186">
        <v>0</v>
      </c>
      <c r="J186">
        <v>0</v>
      </c>
      <c r="O186" t="s">
        <v>21</v>
      </c>
      <c r="P186" t="s">
        <v>438</v>
      </c>
    </row>
    <row r="187" spans="1:16" x14ac:dyDescent="0.3">
      <c r="A187" t="s">
        <v>439</v>
      </c>
      <c r="C187" t="s">
        <v>17</v>
      </c>
      <c r="D187" t="s">
        <v>408</v>
      </c>
      <c r="E187" t="s">
        <v>409</v>
      </c>
      <c r="G187" t="s">
        <v>20</v>
      </c>
      <c r="H187">
        <v>15200</v>
      </c>
      <c r="I187">
        <v>81.7</v>
      </c>
      <c r="J187">
        <v>15118.3</v>
      </c>
      <c r="O187" t="s">
        <v>21</v>
      </c>
      <c r="P187" t="s">
        <v>440</v>
      </c>
    </row>
    <row r="188" spans="1:16" x14ac:dyDescent="0.3">
      <c r="A188" t="s">
        <v>441</v>
      </c>
      <c r="C188" t="s">
        <v>17</v>
      </c>
      <c r="D188" t="s">
        <v>18</v>
      </c>
      <c r="E188" t="s">
        <v>19</v>
      </c>
      <c r="G188" t="s">
        <v>20</v>
      </c>
      <c r="H188">
        <v>15071.5</v>
      </c>
      <c r="I188">
        <v>0</v>
      </c>
      <c r="J188">
        <v>15071.5</v>
      </c>
      <c r="O188" t="s">
        <v>21</v>
      </c>
      <c r="P188" t="s">
        <v>442</v>
      </c>
    </row>
    <row r="189" spans="1:16" x14ac:dyDescent="0.3">
      <c r="A189" t="s">
        <v>443</v>
      </c>
      <c r="C189" t="s">
        <v>17</v>
      </c>
      <c r="D189" t="s">
        <v>18</v>
      </c>
      <c r="E189" t="s">
        <v>19</v>
      </c>
      <c r="G189" t="s">
        <v>20</v>
      </c>
      <c r="H189">
        <v>15071.5</v>
      </c>
      <c r="I189">
        <v>0</v>
      </c>
      <c r="J189">
        <v>15071.5</v>
      </c>
      <c r="O189" t="s">
        <v>21</v>
      </c>
      <c r="P189" t="s">
        <v>444</v>
      </c>
    </row>
    <row r="190" spans="1:16" x14ac:dyDescent="0.3">
      <c r="A190" t="s">
        <v>445</v>
      </c>
      <c r="C190" t="s">
        <v>17</v>
      </c>
      <c r="D190" t="s">
        <v>18</v>
      </c>
      <c r="E190" t="s">
        <v>19</v>
      </c>
      <c r="G190" t="s">
        <v>20</v>
      </c>
      <c r="H190">
        <v>15071.5</v>
      </c>
      <c r="I190">
        <v>0</v>
      </c>
      <c r="J190">
        <v>15071.5</v>
      </c>
      <c r="O190" t="s">
        <v>21</v>
      </c>
      <c r="P190" t="s">
        <v>446</v>
      </c>
    </row>
    <row r="191" spans="1:16" x14ac:dyDescent="0.3">
      <c r="A191" t="s">
        <v>447</v>
      </c>
      <c r="C191" t="s">
        <v>17</v>
      </c>
      <c r="D191" t="s">
        <v>18</v>
      </c>
      <c r="E191" t="s">
        <v>19</v>
      </c>
      <c r="F191" t="s">
        <v>24</v>
      </c>
      <c r="G191" t="s">
        <v>20</v>
      </c>
      <c r="H191">
        <v>15100</v>
      </c>
      <c r="I191">
        <v>0</v>
      </c>
      <c r="J191">
        <v>15100</v>
      </c>
      <c r="O191" t="s">
        <v>21</v>
      </c>
      <c r="P191" t="s">
        <v>448</v>
      </c>
    </row>
    <row r="192" spans="1:16" x14ac:dyDescent="0.3">
      <c r="A192" t="s">
        <v>449</v>
      </c>
      <c r="C192" t="s">
        <v>17</v>
      </c>
      <c r="D192" t="s">
        <v>18</v>
      </c>
      <c r="E192" t="s">
        <v>19</v>
      </c>
      <c r="F192" t="s">
        <v>24</v>
      </c>
      <c r="G192" t="s">
        <v>20</v>
      </c>
      <c r="H192">
        <v>15100</v>
      </c>
      <c r="I192">
        <v>0</v>
      </c>
      <c r="J192">
        <v>15100</v>
      </c>
      <c r="O192" t="s">
        <v>21</v>
      </c>
      <c r="P192" t="s">
        <v>450</v>
      </c>
    </row>
    <row r="193" spans="1:16" x14ac:dyDescent="0.3">
      <c r="A193" t="s">
        <v>451</v>
      </c>
      <c r="C193" t="s">
        <v>17</v>
      </c>
      <c r="D193" t="s">
        <v>404</v>
      </c>
      <c r="E193" t="s">
        <v>19</v>
      </c>
      <c r="F193" t="s">
        <v>452</v>
      </c>
      <c r="G193" t="s">
        <v>20</v>
      </c>
      <c r="H193">
        <v>15118</v>
      </c>
      <c r="I193">
        <v>0</v>
      </c>
      <c r="J193">
        <v>0</v>
      </c>
      <c r="O193" t="s">
        <v>21</v>
      </c>
      <c r="P193" t="s">
        <v>453</v>
      </c>
    </row>
    <row r="194" spans="1:16" x14ac:dyDescent="0.3">
      <c r="A194" t="s">
        <v>454</v>
      </c>
      <c r="C194" t="s">
        <v>17</v>
      </c>
      <c r="D194" t="s">
        <v>408</v>
      </c>
      <c r="E194" t="s">
        <v>409</v>
      </c>
      <c r="G194" t="s">
        <v>20</v>
      </c>
      <c r="H194">
        <v>15200</v>
      </c>
      <c r="I194">
        <v>81.7</v>
      </c>
      <c r="J194">
        <v>15118.3</v>
      </c>
      <c r="O194" t="s">
        <v>21</v>
      </c>
      <c r="P194" t="s">
        <v>455</v>
      </c>
    </row>
    <row r="195" spans="1:16" x14ac:dyDescent="0.3">
      <c r="A195" t="s">
        <v>456</v>
      </c>
      <c r="C195" t="s">
        <v>17</v>
      </c>
      <c r="D195" t="s">
        <v>18</v>
      </c>
      <c r="E195" t="s">
        <v>19</v>
      </c>
      <c r="G195" t="s">
        <v>20</v>
      </c>
      <c r="H195">
        <v>50071.5</v>
      </c>
      <c r="I195">
        <v>0</v>
      </c>
      <c r="J195">
        <v>50071.5</v>
      </c>
      <c r="O195" t="s">
        <v>21</v>
      </c>
      <c r="P195" t="s">
        <v>457</v>
      </c>
    </row>
    <row r="196" spans="1:16" x14ac:dyDescent="0.3">
      <c r="A196" t="s">
        <v>458</v>
      </c>
      <c r="C196" t="s">
        <v>17</v>
      </c>
      <c r="D196" t="s">
        <v>18</v>
      </c>
      <c r="E196" t="s">
        <v>19</v>
      </c>
      <c r="F196" t="s">
        <v>24</v>
      </c>
      <c r="G196" t="s">
        <v>20</v>
      </c>
      <c r="H196">
        <v>50100</v>
      </c>
      <c r="I196">
        <v>0</v>
      </c>
      <c r="J196">
        <v>50100</v>
      </c>
      <c r="O196" t="s">
        <v>21</v>
      </c>
      <c r="P196" t="s">
        <v>459</v>
      </c>
    </row>
    <row r="197" spans="1:16" x14ac:dyDescent="0.3">
      <c r="A197" t="s">
        <v>460</v>
      </c>
      <c r="C197" t="s">
        <v>17</v>
      </c>
      <c r="D197" t="s">
        <v>18</v>
      </c>
      <c r="E197" t="s">
        <v>19</v>
      </c>
      <c r="F197" t="s">
        <v>24</v>
      </c>
      <c r="G197" t="s">
        <v>20</v>
      </c>
      <c r="H197">
        <v>50100</v>
      </c>
      <c r="I197">
        <v>0</v>
      </c>
      <c r="J197">
        <v>50100</v>
      </c>
      <c r="O197" t="s">
        <v>21</v>
      </c>
      <c r="P197" t="s">
        <v>461</v>
      </c>
    </row>
    <row r="198" spans="1:16" x14ac:dyDescent="0.3">
      <c r="A198" t="s">
        <v>462</v>
      </c>
      <c r="C198" t="s">
        <v>17</v>
      </c>
      <c r="D198" t="s">
        <v>404</v>
      </c>
      <c r="E198" t="s">
        <v>19</v>
      </c>
      <c r="F198" t="s">
        <v>463</v>
      </c>
      <c r="G198" t="s">
        <v>20</v>
      </c>
      <c r="H198">
        <v>50092</v>
      </c>
      <c r="I198">
        <v>0</v>
      </c>
      <c r="J198">
        <v>0</v>
      </c>
      <c r="O198" t="s">
        <v>21</v>
      </c>
      <c r="P198" t="s">
        <v>464</v>
      </c>
    </row>
    <row r="199" spans="1:16" x14ac:dyDescent="0.3">
      <c r="A199" t="s">
        <v>465</v>
      </c>
      <c r="C199" t="s">
        <v>17</v>
      </c>
      <c r="D199" t="s">
        <v>408</v>
      </c>
      <c r="E199" t="s">
        <v>409</v>
      </c>
      <c r="G199" t="s">
        <v>20</v>
      </c>
      <c r="H199">
        <v>50200</v>
      </c>
      <c r="I199">
        <v>107.5</v>
      </c>
      <c r="J199">
        <v>50092.5</v>
      </c>
      <c r="O199" t="s">
        <v>21</v>
      </c>
      <c r="P199" t="s">
        <v>466</v>
      </c>
    </row>
    <row r="200" spans="1:16" x14ac:dyDescent="0.3">
      <c r="A200" t="s">
        <v>467</v>
      </c>
      <c r="C200" t="s">
        <v>17</v>
      </c>
      <c r="D200" t="s">
        <v>18</v>
      </c>
      <c r="E200" t="s">
        <v>19</v>
      </c>
      <c r="G200" t="s">
        <v>20</v>
      </c>
      <c r="H200">
        <v>15071.5</v>
      </c>
      <c r="I200">
        <v>0</v>
      </c>
      <c r="J200">
        <v>15071.5</v>
      </c>
      <c r="O200" t="s">
        <v>21</v>
      </c>
      <c r="P200" t="s">
        <v>468</v>
      </c>
    </row>
    <row r="201" spans="1:16" x14ac:dyDescent="0.3">
      <c r="A201" t="s">
        <v>469</v>
      </c>
      <c r="C201" t="s">
        <v>17</v>
      </c>
      <c r="D201" t="s">
        <v>18</v>
      </c>
      <c r="E201" t="s">
        <v>19</v>
      </c>
      <c r="F201" t="s">
        <v>24</v>
      </c>
      <c r="G201" t="s">
        <v>20</v>
      </c>
      <c r="H201">
        <v>15050</v>
      </c>
      <c r="I201">
        <v>0</v>
      </c>
      <c r="J201">
        <v>15050</v>
      </c>
      <c r="O201" t="s">
        <v>21</v>
      </c>
      <c r="P201" t="s">
        <v>470</v>
      </c>
    </row>
    <row r="202" spans="1:16" x14ac:dyDescent="0.3">
      <c r="A202" t="s">
        <v>471</v>
      </c>
      <c r="C202" t="s">
        <v>17</v>
      </c>
      <c r="D202" t="s">
        <v>18</v>
      </c>
      <c r="E202" t="s">
        <v>19</v>
      </c>
      <c r="F202" t="s">
        <v>24</v>
      </c>
      <c r="G202" t="s">
        <v>20</v>
      </c>
      <c r="H202">
        <v>15050</v>
      </c>
      <c r="I202">
        <v>0</v>
      </c>
      <c r="J202">
        <v>15050</v>
      </c>
      <c r="O202" t="s">
        <v>21</v>
      </c>
      <c r="P202" t="s">
        <v>472</v>
      </c>
    </row>
    <row r="203" spans="1:16" x14ac:dyDescent="0.3">
      <c r="A203" t="s">
        <v>473</v>
      </c>
      <c r="C203" t="s">
        <v>17</v>
      </c>
      <c r="D203" t="s">
        <v>404</v>
      </c>
      <c r="E203" t="s">
        <v>19</v>
      </c>
      <c r="F203" t="s">
        <v>474</v>
      </c>
      <c r="G203" t="s">
        <v>20</v>
      </c>
      <c r="H203">
        <v>15018</v>
      </c>
      <c r="I203">
        <v>0</v>
      </c>
      <c r="J203">
        <v>0</v>
      </c>
      <c r="O203" t="s">
        <v>21</v>
      </c>
      <c r="P203" t="s">
        <v>475</v>
      </c>
    </row>
    <row r="204" spans="1:16" x14ac:dyDescent="0.3">
      <c r="A204" t="s">
        <v>476</v>
      </c>
      <c r="C204" t="s">
        <v>17</v>
      </c>
      <c r="D204" t="s">
        <v>408</v>
      </c>
      <c r="E204" t="s">
        <v>409</v>
      </c>
      <c r="G204" t="s">
        <v>20</v>
      </c>
      <c r="H204">
        <v>15100</v>
      </c>
      <c r="I204">
        <v>81.162499999999994</v>
      </c>
      <c r="J204">
        <v>15018.8375</v>
      </c>
      <c r="O204" t="s">
        <v>21</v>
      </c>
      <c r="P204" t="s">
        <v>477</v>
      </c>
    </row>
    <row r="205" spans="1:16" x14ac:dyDescent="0.3">
      <c r="A205" t="s">
        <v>478</v>
      </c>
      <c r="C205" t="s">
        <v>17</v>
      </c>
      <c r="D205" t="s">
        <v>18</v>
      </c>
      <c r="E205" t="s">
        <v>19</v>
      </c>
      <c r="G205" t="s">
        <v>20</v>
      </c>
      <c r="H205">
        <v>15071.5</v>
      </c>
      <c r="I205">
        <v>0</v>
      </c>
      <c r="J205">
        <v>15071.5</v>
      </c>
      <c r="O205" t="s">
        <v>21</v>
      </c>
      <c r="P205" t="s">
        <v>479</v>
      </c>
    </row>
    <row r="206" spans="1:16" x14ac:dyDescent="0.3">
      <c r="A206" t="s">
        <v>480</v>
      </c>
      <c r="C206" t="s">
        <v>17</v>
      </c>
      <c r="D206" t="s">
        <v>18</v>
      </c>
      <c r="E206" t="s">
        <v>19</v>
      </c>
      <c r="F206" t="s">
        <v>24</v>
      </c>
      <c r="G206" t="s">
        <v>20</v>
      </c>
      <c r="H206">
        <v>15000</v>
      </c>
      <c r="I206">
        <v>0</v>
      </c>
      <c r="J206">
        <v>15000</v>
      </c>
      <c r="O206" t="s">
        <v>21</v>
      </c>
      <c r="P206" t="s">
        <v>481</v>
      </c>
    </row>
    <row r="207" spans="1:16" x14ac:dyDescent="0.3">
      <c r="A207" t="s">
        <v>482</v>
      </c>
      <c r="C207" t="s">
        <v>17</v>
      </c>
      <c r="D207" t="s">
        <v>18</v>
      </c>
      <c r="E207" t="s">
        <v>19</v>
      </c>
      <c r="F207" t="s">
        <v>24</v>
      </c>
      <c r="G207" t="s">
        <v>20</v>
      </c>
      <c r="H207">
        <v>15000</v>
      </c>
      <c r="I207">
        <v>0</v>
      </c>
      <c r="J207">
        <v>15000</v>
      </c>
      <c r="O207" t="s">
        <v>21</v>
      </c>
      <c r="P207" t="s">
        <v>483</v>
      </c>
    </row>
    <row r="208" spans="1:16" x14ac:dyDescent="0.3">
      <c r="A208" t="s">
        <v>484</v>
      </c>
      <c r="C208" t="s">
        <v>17</v>
      </c>
      <c r="D208" t="s">
        <v>404</v>
      </c>
      <c r="E208" t="s">
        <v>19</v>
      </c>
      <c r="F208" t="s">
        <v>485</v>
      </c>
      <c r="G208" t="s">
        <v>20</v>
      </c>
      <c r="H208">
        <v>15118</v>
      </c>
      <c r="I208">
        <v>0</v>
      </c>
      <c r="J208">
        <v>0</v>
      </c>
      <c r="O208" t="s">
        <v>21</v>
      </c>
      <c r="P208" t="s">
        <v>486</v>
      </c>
    </row>
    <row r="209" spans="1:16" x14ac:dyDescent="0.3">
      <c r="A209" t="s">
        <v>487</v>
      </c>
      <c r="C209" t="s">
        <v>17</v>
      </c>
      <c r="D209" t="s">
        <v>408</v>
      </c>
      <c r="E209" t="s">
        <v>409</v>
      </c>
      <c r="G209" t="s">
        <v>20</v>
      </c>
      <c r="H209">
        <v>15200</v>
      </c>
      <c r="I209">
        <v>81.7</v>
      </c>
      <c r="J209">
        <v>15118.3</v>
      </c>
      <c r="O209" t="s">
        <v>21</v>
      </c>
      <c r="P209" t="s">
        <v>488</v>
      </c>
    </row>
    <row r="210" spans="1:16" x14ac:dyDescent="0.3">
      <c r="A210" t="s">
        <v>489</v>
      </c>
      <c r="C210" t="s">
        <v>17</v>
      </c>
      <c r="D210" t="s">
        <v>18</v>
      </c>
      <c r="E210" t="s">
        <v>19</v>
      </c>
      <c r="G210" t="s">
        <v>20</v>
      </c>
      <c r="H210">
        <v>10071.5</v>
      </c>
      <c r="I210">
        <v>0</v>
      </c>
      <c r="J210">
        <v>10071.5</v>
      </c>
      <c r="O210" t="s">
        <v>21</v>
      </c>
      <c r="P210" t="s">
        <v>490</v>
      </c>
    </row>
    <row r="211" spans="1:16" x14ac:dyDescent="0.3">
      <c r="A211" t="s">
        <v>491</v>
      </c>
      <c r="C211" t="s">
        <v>17</v>
      </c>
      <c r="D211" t="s">
        <v>18</v>
      </c>
      <c r="E211" t="s">
        <v>19</v>
      </c>
      <c r="F211" t="s">
        <v>24</v>
      </c>
      <c r="G211" t="s">
        <v>20</v>
      </c>
      <c r="H211">
        <v>10100</v>
      </c>
      <c r="I211">
        <v>0</v>
      </c>
      <c r="J211">
        <v>10100</v>
      </c>
      <c r="O211" t="s">
        <v>21</v>
      </c>
      <c r="P211" t="s">
        <v>492</v>
      </c>
    </row>
    <row r="212" spans="1:16" x14ac:dyDescent="0.3">
      <c r="A212" t="s">
        <v>493</v>
      </c>
      <c r="C212" t="s">
        <v>17</v>
      </c>
      <c r="D212" t="s">
        <v>18</v>
      </c>
      <c r="E212" t="s">
        <v>19</v>
      </c>
      <c r="F212" t="s">
        <v>24</v>
      </c>
      <c r="G212" t="s">
        <v>20</v>
      </c>
      <c r="H212">
        <v>10100</v>
      </c>
      <c r="I212">
        <v>0</v>
      </c>
      <c r="J212">
        <v>10100</v>
      </c>
      <c r="O212" t="s">
        <v>21</v>
      </c>
      <c r="P212" t="s">
        <v>494</v>
      </c>
    </row>
    <row r="213" spans="1:16" x14ac:dyDescent="0.3">
      <c r="A213" t="s">
        <v>495</v>
      </c>
      <c r="C213" t="s">
        <v>17</v>
      </c>
      <c r="D213" t="s">
        <v>404</v>
      </c>
      <c r="E213" t="s">
        <v>19</v>
      </c>
      <c r="F213" t="s">
        <v>496</v>
      </c>
      <c r="G213" t="s">
        <v>20</v>
      </c>
      <c r="H213">
        <v>10045</v>
      </c>
      <c r="I213">
        <v>0</v>
      </c>
      <c r="J213">
        <v>0</v>
      </c>
      <c r="O213" t="s">
        <v>21</v>
      </c>
      <c r="P213" t="s">
        <v>497</v>
      </c>
    </row>
    <row r="214" spans="1:16" x14ac:dyDescent="0.3">
      <c r="A214" t="s">
        <v>498</v>
      </c>
      <c r="C214" t="s">
        <v>17</v>
      </c>
      <c r="D214" t="s">
        <v>408</v>
      </c>
      <c r="E214" t="s">
        <v>409</v>
      </c>
      <c r="G214" t="s">
        <v>20</v>
      </c>
      <c r="H214">
        <v>10100</v>
      </c>
      <c r="I214">
        <v>54.287499999999902</v>
      </c>
      <c r="J214">
        <v>10045.7125</v>
      </c>
      <c r="O214" t="s">
        <v>21</v>
      </c>
      <c r="P214" t="s">
        <v>499</v>
      </c>
    </row>
    <row r="215" spans="1:16" x14ac:dyDescent="0.3">
      <c r="A215" t="s">
        <v>500</v>
      </c>
      <c r="C215" t="s">
        <v>17</v>
      </c>
      <c r="D215" t="s">
        <v>18</v>
      </c>
      <c r="E215" t="s">
        <v>19</v>
      </c>
      <c r="G215" t="s">
        <v>20</v>
      </c>
      <c r="H215">
        <v>25071.5</v>
      </c>
      <c r="I215">
        <v>0</v>
      </c>
      <c r="J215">
        <v>25071.5</v>
      </c>
      <c r="O215" t="s">
        <v>21</v>
      </c>
      <c r="P215" t="s">
        <v>501</v>
      </c>
    </row>
    <row r="216" spans="1:16" x14ac:dyDescent="0.3">
      <c r="A216" t="s">
        <v>502</v>
      </c>
      <c r="C216" t="s">
        <v>17</v>
      </c>
      <c r="D216" t="s">
        <v>18</v>
      </c>
      <c r="E216" t="s">
        <v>19</v>
      </c>
      <c r="F216" t="s">
        <v>24</v>
      </c>
      <c r="G216" t="s">
        <v>20</v>
      </c>
      <c r="H216">
        <v>10200</v>
      </c>
      <c r="I216">
        <v>0</v>
      </c>
      <c r="J216">
        <v>10200</v>
      </c>
      <c r="O216" t="s">
        <v>21</v>
      </c>
      <c r="P216" t="s">
        <v>503</v>
      </c>
    </row>
    <row r="217" spans="1:16" x14ac:dyDescent="0.3">
      <c r="A217" t="s">
        <v>504</v>
      </c>
      <c r="C217" t="s">
        <v>17</v>
      </c>
      <c r="D217" t="s">
        <v>18</v>
      </c>
      <c r="E217" t="s">
        <v>19</v>
      </c>
      <c r="F217" t="s">
        <v>24</v>
      </c>
      <c r="G217" t="s">
        <v>20</v>
      </c>
      <c r="H217">
        <v>10200</v>
      </c>
      <c r="I217">
        <v>0</v>
      </c>
      <c r="J217">
        <v>10200</v>
      </c>
      <c r="O217" t="s">
        <v>21</v>
      </c>
      <c r="P217" t="s">
        <v>505</v>
      </c>
    </row>
    <row r="218" spans="1:16" x14ac:dyDescent="0.3">
      <c r="A218" t="s">
        <v>506</v>
      </c>
      <c r="C218" t="s">
        <v>17</v>
      </c>
      <c r="D218" t="s">
        <v>404</v>
      </c>
      <c r="E218" t="s">
        <v>19</v>
      </c>
      <c r="F218" t="s">
        <v>507</v>
      </c>
      <c r="G218" t="s">
        <v>20</v>
      </c>
      <c r="H218">
        <v>10145</v>
      </c>
      <c r="I218">
        <v>0</v>
      </c>
      <c r="J218">
        <v>0</v>
      </c>
      <c r="O218" t="s">
        <v>21</v>
      </c>
      <c r="P218" t="s">
        <v>508</v>
      </c>
    </row>
    <row r="219" spans="1:16" x14ac:dyDescent="0.3">
      <c r="A219" t="s">
        <v>509</v>
      </c>
      <c r="C219" t="s">
        <v>17</v>
      </c>
      <c r="D219" t="s">
        <v>408</v>
      </c>
      <c r="E219" t="s">
        <v>409</v>
      </c>
      <c r="G219" t="s">
        <v>20</v>
      </c>
      <c r="H219">
        <v>10200</v>
      </c>
      <c r="I219">
        <v>54.825000000000003</v>
      </c>
      <c r="J219">
        <v>10145.174999999999</v>
      </c>
      <c r="O219" t="s">
        <v>21</v>
      </c>
      <c r="P219" t="s">
        <v>510</v>
      </c>
    </row>
    <row r="220" spans="1:16" x14ac:dyDescent="0.3">
      <c r="A220" t="s">
        <v>511</v>
      </c>
      <c r="C220" t="s">
        <v>17</v>
      </c>
      <c r="D220" t="s">
        <v>18</v>
      </c>
      <c r="E220" t="s">
        <v>19</v>
      </c>
      <c r="G220" t="s">
        <v>20</v>
      </c>
      <c r="H220">
        <v>15071.5</v>
      </c>
      <c r="I220">
        <v>0</v>
      </c>
      <c r="J220">
        <v>15071.5</v>
      </c>
      <c r="O220" t="s">
        <v>21</v>
      </c>
      <c r="P220" t="s">
        <v>512</v>
      </c>
    </row>
    <row r="221" spans="1:16" x14ac:dyDescent="0.3">
      <c r="A221" t="s">
        <v>513</v>
      </c>
      <c r="C221" t="s">
        <v>17</v>
      </c>
      <c r="D221" t="s">
        <v>18</v>
      </c>
      <c r="E221" t="s">
        <v>19</v>
      </c>
      <c r="F221" t="s">
        <v>24</v>
      </c>
      <c r="G221" t="s">
        <v>20</v>
      </c>
      <c r="H221">
        <v>15050</v>
      </c>
      <c r="I221">
        <v>0</v>
      </c>
      <c r="J221">
        <v>15050</v>
      </c>
      <c r="O221" t="s">
        <v>21</v>
      </c>
      <c r="P221" t="s">
        <v>514</v>
      </c>
    </row>
    <row r="222" spans="1:16" x14ac:dyDescent="0.3">
      <c r="A222" t="s">
        <v>515</v>
      </c>
      <c r="C222" t="s">
        <v>17</v>
      </c>
      <c r="D222" t="s">
        <v>18</v>
      </c>
      <c r="E222" t="s">
        <v>19</v>
      </c>
      <c r="F222" t="s">
        <v>24</v>
      </c>
      <c r="G222" t="s">
        <v>20</v>
      </c>
      <c r="H222">
        <v>15050</v>
      </c>
      <c r="I222">
        <v>0</v>
      </c>
      <c r="J222">
        <v>15050</v>
      </c>
      <c r="O222" t="s">
        <v>21</v>
      </c>
      <c r="P222" t="s">
        <v>516</v>
      </c>
    </row>
    <row r="223" spans="1:16" x14ac:dyDescent="0.3">
      <c r="A223" t="s">
        <v>517</v>
      </c>
      <c r="C223" t="s">
        <v>17</v>
      </c>
      <c r="D223" t="s">
        <v>404</v>
      </c>
      <c r="E223" t="s">
        <v>19</v>
      </c>
      <c r="F223" t="s">
        <v>518</v>
      </c>
      <c r="G223" t="s">
        <v>20</v>
      </c>
      <c r="H223">
        <v>15018</v>
      </c>
      <c r="I223">
        <v>0</v>
      </c>
      <c r="J223">
        <v>0</v>
      </c>
      <c r="O223" t="s">
        <v>21</v>
      </c>
      <c r="P223" t="s">
        <v>519</v>
      </c>
    </row>
    <row r="224" spans="1:16" x14ac:dyDescent="0.3">
      <c r="A224" t="s">
        <v>520</v>
      </c>
      <c r="C224" t="s">
        <v>17</v>
      </c>
      <c r="D224" t="s">
        <v>408</v>
      </c>
      <c r="E224" t="s">
        <v>409</v>
      </c>
      <c r="G224" t="s">
        <v>20</v>
      </c>
      <c r="H224">
        <v>15100</v>
      </c>
      <c r="I224">
        <v>81.162499999999994</v>
      </c>
      <c r="J224">
        <v>15018.8375</v>
      </c>
      <c r="O224" t="s">
        <v>21</v>
      </c>
      <c r="P224" t="s">
        <v>521</v>
      </c>
    </row>
    <row r="225" spans="1:16" x14ac:dyDescent="0.3">
      <c r="A225" t="s">
        <v>522</v>
      </c>
      <c r="C225" t="s">
        <v>17</v>
      </c>
      <c r="D225" t="s">
        <v>18</v>
      </c>
      <c r="E225" t="s">
        <v>19</v>
      </c>
      <c r="G225" t="s">
        <v>20</v>
      </c>
      <c r="H225">
        <v>10071.5</v>
      </c>
      <c r="I225">
        <v>0</v>
      </c>
      <c r="J225">
        <v>10071.5</v>
      </c>
      <c r="O225" t="s">
        <v>21</v>
      </c>
      <c r="P225" t="s">
        <v>523</v>
      </c>
    </row>
    <row r="226" spans="1:16" x14ac:dyDescent="0.3">
      <c r="A226" t="s">
        <v>524</v>
      </c>
      <c r="C226" t="s">
        <v>17</v>
      </c>
      <c r="D226" t="s">
        <v>18</v>
      </c>
      <c r="E226" t="s">
        <v>19</v>
      </c>
      <c r="F226" t="s">
        <v>24</v>
      </c>
      <c r="G226" t="s">
        <v>20</v>
      </c>
      <c r="H226">
        <v>10000</v>
      </c>
      <c r="I226">
        <v>0</v>
      </c>
      <c r="J226">
        <v>10000</v>
      </c>
      <c r="O226" t="s">
        <v>21</v>
      </c>
      <c r="P226" t="s">
        <v>525</v>
      </c>
    </row>
    <row r="227" spans="1:16" x14ac:dyDescent="0.3">
      <c r="A227" t="s">
        <v>526</v>
      </c>
      <c r="C227" t="s">
        <v>17</v>
      </c>
      <c r="D227" t="s">
        <v>18</v>
      </c>
      <c r="E227" t="s">
        <v>19</v>
      </c>
      <c r="F227" t="s">
        <v>24</v>
      </c>
      <c r="G227" t="s">
        <v>20</v>
      </c>
      <c r="H227">
        <v>10000</v>
      </c>
      <c r="I227">
        <v>0</v>
      </c>
      <c r="J227">
        <v>10000</v>
      </c>
      <c r="O227" t="s">
        <v>21</v>
      </c>
      <c r="P227" t="s">
        <v>527</v>
      </c>
    </row>
    <row r="228" spans="1:16" x14ac:dyDescent="0.3">
      <c r="A228" t="s">
        <v>528</v>
      </c>
      <c r="C228" t="s">
        <v>17</v>
      </c>
      <c r="D228" t="s">
        <v>404</v>
      </c>
      <c r="E228" t="s">
        <v>19</v>
      </c>
      <c r="F228" t="s">
        <v>529</v>
      </c>
      <c r="G228" t="s">
        <v>20</v>
      </c>
      <c r="H228">
        <v>10045</v>
      </c>
      <c r="I228">
        <v>0</v>
      </c>
      <c r="J228">
        <v>0</v>
      </c>
      <c r="O228" t="s">
        <v>21</v>
      </c>
      <c r="P228" t="s">
        <v>530</v>
      </c>
    </row>
    <row r="229" spans="1:16" x14ac:dyDescent="0.3">
      <c r="A229" t="s">
        <v>531</v>
      </c>
      <c r="C229" t="s">
        <v>17</v>
      </c>
      <c r="D229" t="s">
        <v>408</v>
      </c>
      <c r="E229" t="s">
        <v>409</v>
      </c>
      <c r="G229" t="s">
        <v>20</v>
      </c>
      <c r="H229">
        <v>10100</v>
      </c>
      <c r="I229">
        <v>54.287499999999902</v>
      </c>
      <c r="J229">
        <v>10045.7125</v>
      </c>
      <c r="O229" t="s">
        <v>21</v>
      </c>
      <c r="P229" t="s">
        <v>532</v>
      </c>
    </row>
    <row r="230" spans="1:16" x14ac:dyDescent="0.3">
      <c r="A230" t="s">
        <v>533</v>
      </c>
      <c r="C230" t="s">
        <v>17</v>
      </c>
      <c r="D230" t="s">
        <v>18</v>
      </c>
      <c r="E230" t="s">
        <v>19</v>
      </c>
      <c r="G230" t="s">
        <v>20</v>
      </c>
      <c r="H230">
        <v>15071.5</v>
      </c>
      <c r="I230">
        <v>0</v>
      </c>
      <c r="J230">
        <v>15071.5</v>
      </c>
      <c r="O230" t="s">
        <v>21</v>
      </c>
      <c r="P230" t="s">
        <v>534</v>
      </c>
    </row>
    <row r="231" spans="1:16" x14ac:dyDescent="0.3">
      <c r="A231" t="s">
        <v>535</v>
      </c>
      <c r="C231" t="s">
        <v>17</v>
      </c>
      <c r="D231" t="s">
        <v>18</v>
      </c>
      <c r="E231" t="s">
        <v>19</v>
      </c>
      <c r="F231" t="s">
        <v>24</v>
      </c>
      <c r="G231" t="s">
        <v>20</v>
      </c>
      <c r="H231">
        <v>15000</v>
      </c>
      <c r="I231">
        <v>0</v>
      </c>
      <c r="J231">
        <v>15000</v>
      </c>
      <c r="O231" t="s">
        <v>21</v>
      </c>
      <c r="P231" t="s">
        <v>536</v>
      </c>
    </row>
    <row r="232" spans="1:16" x14ac:dyDescent="0.3">
      <c r="A232" t="s">
        <v>537</v>
      </c>
      <c r="C232" t="s">
        <v>17</v>
      </c>
      <c r="D232" t="s">
        <v>18</v>
      </c>
      <c r="E232" t="s">
        <v>19</v>
      </c>
      <c r="F232" t="s">
        <v>24</v>
      </c>
      <c r="G232" t="s">
        <v>20</v>
      </c>
      <c r="H232">
        <v>15000</v>
      </c>
      <c r="I232">
        <v>0</v>
      </c>
      <c r="J232">
        <v>15000</v>
      </c>
      <c r="O232" t="s">
        <v>21</v>
      </c>
      <c r="P232" t="s">
        <v>538</v>
      </c>
    </row>
    <row r="233" spans="1:16" x14ac:dyDescent="0.3">
      <c r="A233" t="s">
        <v>539</v>
      </c>
      <c r="C233" t="s">
        <v>17</v>
      </c>
      <c r="D233" t="s">
        <v>404</v>
      </c>
      <c r="E233" t="s">
        <v>19</v>
      </c>
      <c r="F233" t="s">
        <v>540</v>
      </c>
      <c r="G233" t="s">
        <v>20</v>
      </c>
      <c r="H233">
        <v>15018</v>
      </c>
      <c r="I233">
        <v>0</v>
      </c>
      <c r="J233">
        <v>0</v>
      </c>
      <c r="O233" t="s">
        <v>21</v>
      </c>
      <c r="P233" t="s">
        <v>541</v>
      </c>
    </row>
    <row r="234" spans="1:16" x14ac:dyDescent="0.3">
      <c r="A234" t="s">
        <v>542</v>
      </c>
      <c r="C234" t="s">
        <v>17</v>
      </c>
      <c r="D234" t="s">
        <v>408</v>
      </c>
      <c r="E234" t="s">
        <v>409</v>
      </c>
      <c r="G234" t="s">
        <v>20</v>
      </c>
      <c r="H234">
        <v>15100</v>
      </c>
      <c r="I234">
        <v>81.162499999999994</v>
      </c>
      <c r="J234">
        <v>15018.8375</v>
      </c>
      <c r="O234" t="s">
        <v>21</v>
      </c>
      <c r="P234" t="s">
        <v>543</v>
      </c>
    </row>
    <row r="235" spans="1:16" x14ac:dyDescent="0.3">
      <c r="A235" t="s">
        <v>544</v>
      </c>
      <c r="C235" t="s">
        <v>17</v>
      </c>
      <c r="D235" t="s">
        <v>18</v>
      </c>
      <c r="E235" t="s">
        <v>19</v>
      </c>
      <c r="G235" t="s">
        <v>20</v>
      </c>
      <c r="H235">
        <v>15071.5</v>
      </c>
      <c r="I235">
        <v>0</v>
      </c>
      <c r="J235">
        <v>15071.5</v>
      </c>
      <c r="O235" t="s">
        <v>21</v>
      </c>
      <c r="P235" t="s">
        <v>545</v>
      </c>
    </row>
    <row r="236" spans="1:16" x14ac:dyDescent="0.3">
      <c r="A236" t="s">
        <v>546</v>
      </c>
      <c r="C236" t="s">
        <v>17</v>
      </c>
      <c r="D236" t="s">
        <v>18</v>
      </c>
      <c r="E236" t="s">
        <v>19</v>
      </c>
      <c r="G236" t="s">
        <v>20</v>
      </c>
      <c r="H236">
        <v>10021.5</v>
      </c>
      <c r="I236">
        <v>0</v>
      </c>
      <c r="J236">
        <v>10021.5</v>
      </c>
      <c r="O236" t="s">
        <v>21</v>
      </c>
      <c r="P236" t="s">
        <v>547</v>
      </c>
    </row>
    <row r="237" spans="1:16" x14ac:dyDescent="0.3">
      <c r="A237" t="s">
        <v>548</v>
      </c>
      <c r="C237" t="s">
        <v>17</v>
      </c>
      <c r="D237" t="s">
        <v>18</v>
      </c>
      <c r="E237" t="s">
        <v>19</v>
      </c>
      <c r="F237" t="s">
        <v>24</v>
      </c>
      <c r="G237" t="s">
        <v>20</v>
      </c>
      <c r="H237">
        <v>10100</v>
      </c>
      <c r="I237">
        <v>0</v>
      </c>
      <c r="J237">
        <v>10100</v>
      </c>
      <c r="O237" t="s">
        <v>21</v>
      </c>
      <c r="P237" t="s">
        <v>549</v>
      </c>
    </row>
    <row r="238" spans="1:16" x14ac:dyDescent="0.3">
      <c r="A238" t="s">
        <v>550</v>
      </c>
      <c r="C238" t="s">
        <v>17</v>
      </c>
      <c r="D238" t="s">
        <v>18</v>
      </c>
      <c r="E238" t="s">
        <v>19</v>
      </c>
      <c r="F238" t="s">
        <v>24</v>
      </c>
      <c r="G238" t="s">
        <v>20</v>
      </c>
      <c r="H238">
        <v>10100</v>
      </c>
      <c r="I238">
        <v>0</v>
      </c>
      <c r="J238">
        <v>10100</v>
      </c>
      <c r="O238" t="s">
        <v>21</v>
      </c>
      <c r="P238" t="s">
        <v>551</v>
      </c>
    </row>
    <row r="239" spans="1:16" x14ac:dyDescent="0.3">
      <c r="A239" t="s">
        <v>552</v>
      </c>
      <c r="C239" t="s">
        <v>17</v>
      </c>
      <c r="D239" t="s">
        <v>404</v>
      </c>
      <c r="E239" t="s">
        <v>19</v>
      </c>
      <c r="F239" t="s">
        <v>553</v>
      </c>
      <c r="G239" t="s">
        <v>20</v>
      </c>
      <c r="H239">
        <v>10095</v>
      </c>
      <c r="I239">
        <v>0</v>
      </c>
      <c r="J239">
        <v>0</v>
      </c>
      <c r="O239" t="s">
        <v>21</v>
      </c>
      <c r="P239" t="s">
        <v>554</v>
      </c>
    </row>
    <row r="240" spans="1:16" x14ac:dyDescent="0.3">
      <c r="A240" t="s">
        <v>555</v>
      </c>
      <c r="C240" t="s">
        <v>17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556</v>
      </c>
    </row>
    <row r="241" spans="1:16" x14ac:dyDescent="0.3">
      <c r="A241" t="s">
        <v>557</v>
      </c>
      <c r="C241" t="s">
        <v>17</v>
      </c>
      <c r="D241" t="s">
        <v>18</v>
      </c>
      <c r="E241" t="s">
        <v>19</v>
      </c>
      <c r="G241" t="s">
        <v>20</v>
      </c>
      <c r="H241">
        <v>10021.5</v>
      </c>
      <c r="I241">
        <v>0</v>
      </c>
      <c r="J241">
        <v>10021.5</v>
      </c>
      <c r="O241" t="s">
        <v>21</v>
      </c>
      <c r="P241" t="s">
        <v>558</v>
      </c>
    </row>
    <row r="242" spans="1:16" x14ac:dyDescent="0.3">
      <c r="A242" t="s">
        <v>559</v>
      </c>
      <c r="C242" t="s">
        <v>17</v>
      </c>
      <c r="D242" t="s">
        <v>18</v>
      </c>
      <c r="E242" t="s">
        <v>19</v>
      </c>
      <c r="F242" t="s">
        <v>24</v>
      </c>
      <c r="G242" t="s">
        <v>20</v>
      </c>
      <c r="H242">
        <v>10000</v>
      </c>
      <c r="I242">
        <v>0</v>
      </c>
      <c r="J242">
        <v>10000</v>
      </c>
      <c r="O242" t="s">
        <v>21</v>
      </c>
      <c r="P242" t="s">
        <v>560</v>
      </c>
    </row>
    <row r="243" spans="1:16" x14ac:dyDescent="0.3">
      <c r="A243" t="s">
        <v>561</v>
      </c>
      <c r="C243" t="s">
        <v>17</v>
      </c>
      <c r="D243" t="s">
        <v>18</v>
      </c>
      <c r="E243" t="s">
        <v>19</v>
      </c>
      <c r="F243" t="s">
        <v>24</v>
      </c>
      <c r="G243" t="s">
        <v>20</v>
      </c>
      <c r="H243">
        <v>10000</v>
      </c>
      <c r="I243">
        <v>0</v>
      </c>
      <c r="J243">
        <v>10000</v>
      </c>
      <c r="O243" t="s">
        <v>21</v>
      </c>
      <c r="P243" t="s">
        <v>562</v>
      </c>
    </row>
    <row r="244" spans="1:16" x14ac:dyDescent="0.3">
      <c r="A244" t="s">
        <v>563</v>
      </c>
      <c r="C244" t="s">
        <v>17</v>
      </c>
      <c r="D244" t="s">
        <v>404</v>
      </c>
      <c r="E244" t="s">
        <v>19</v>
      </c>
      <c r="F244" t="s">
        <v>564</v>
      </c>
      <c r="G244" t="s">
        <v>20</v>
      </c>
      <c r="H244">
        <v>10095</v>
      </c>
      <c r="I244">
        <v>0</v>
      </c>
      <c r="J244">
        <v>0</v>
      </c>
      <c r="O244" t="s">
        <v>21</v>
      </c>
      <c r="P244" t="s">
        <v>565</v>
      </c>
    </row>
    <row r="245" spans="1:16" x14ac:dyDescent="0.3">
      <c r="A245" t="s">
        <v>566</v>
      </c>
      <c r="C245" t="s">
        <v>17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567</v>
      </c>
    </row>
    <row r="246" spans="1:16" x14ac:dyDescent="0.3">
      <c r="A246" t="s">
        <v>568</v>
      </c>
      <c r="C246" t="s">
        <v>17</v>
      </c>
      <c r="D246" t="s">
        <v>18</v>
      </c>
      <c r="E246" t="s">
        <v>19</v>
      </c>
      <c r="G246" t="s">
        <v>20</v>
      </c>
      <c r="H246">
        <v>10021.5</v>
      </c>
      <c r="I246">
        <v>0</v>
      </c>
      <c r="J246">
        <v>10021.5</v>
      </c>
      <c r="O246" t="s">
        <v>21</v>
      </c>
      <c r="P246" t="s">
        <v>569</v>
      </c>
    </row>
    <row r="247" spans="1:16" x14ac:dyDescent="0.3">
      <c r="A247" t="s">
        <v>570</v>
      </c>
      <c r="C247" t="s">
        <v>17</v>
      </c>
      <c r="D247" t="s">
        <v>18</v>
      </c>
      <c r="E247" t="s">
        <v>19</v>
      </c>
      <c r="F247" t="s">
        <v>24</v>
      </c>
      <c r="G247" t="s">
        <v>20</v>
      </c>
      <c r="H247">
        <v>10000</v>
      </c>
      <c r="I247">
        <v>0</v>
      </c>
      <c r="J247">
        <v>10000</v>
      </c>
      <c r="O247" t="s">
        <v>21</v>
      </c>
      <c r="P247" t="s">
        <v>571</v>
      </c>
    </row>
    <row r="248" spans="1:16" x14ac:dyDescent="0.3">
      <c r="A248" t="s">
        <v>572</v>
      </c>
      <c r="C248" t="s">
        <v>17</v>
      </c>
      <c r="D248" t="s">
        <v>18</v>
      </c>
      <c r="E248" t="s">
        <v>19</v>
      </c>
      <c r="F248" t="s">
        <v>24</v>
      </c>
      <c r="G248" t="s">
        <v>20</v>
      </c>
      <c r="H248">
        <v>10000</v>
      </c>
      <c r="I248">
        <v>0</v>
      </c>
      <c r="J248">
        <v>10000</v>
      </c>
      <c r="O248" t="s">
        <v>21</v>
      </c>
      <c r="P248" t="s">
        <v>573</v>
      </c>
    </row>
    <row r="249" spans="1:16" x14ac:dyDescent="0.3">
      <c r="A249" t="s">
        <v>574</v>
      </c>
      <c r="C249" t="s">
        <v>17</v>
      </c>
      <c r="D249" t="s">
        <v>404</v>
      </c>
      <c r="E249" t="s">
        <v>19</v>
      </c>
      <c r="F249" t="s">
        <v>575</v>
      </c>
      <c r="G249" t="s">
        <v>20</v>
      </c>
      <c r="H249">
        <v>9995</v>
      </c>
      <c r="I249">
        <v>0</v>
      </c>
      <c r="J249">
        <v>0</v>
      </c>
      <c r="O249" t="s">
        <v>21</v>
      </c>
      <c r="P249" t="s">
        <v>576</v>
      </c>
    </row>
    <row r="250" spans="1:16" x14ac:dyDescent="0.3">
      <c r="A250" t="s">
        <v>577</v>
      </c>
      <c r="C250" t="s">
        <v>17</v>
      </c>
      <c r="D250" t="s">
        <v>408</v>
      </c>
      <c r="E250" t="s">
        <v>409</v>
      </c>
      <c r="G250" t="s">
        <v>20</v>
      </c>
      <c r="H250">
        <v>10100</v>
      </c>
      <c r="I250">
        <v>104.28749999999999</v>
      </c>
      <c r="J250">
        <v>9995.7124999999996</v>
      </c>
      <c r="O250" t="s">
        <v>21</v>
      </c>
      <c r="P250" t="s">
        <v>578</v>
      </c>
    </row>
    <row r="251" spans="1:16" x14ac:dyDescent="0.3">
      <c r="A251" t="s">
        <v>579</v>
      </c>
      <c r="C251" t="s">
        <v>17</v>
      </c>
      <c r="D251" t="s">
        <v>18</v>
      </c>
      <c r="E251" t="s">
        <v>19</v>
      </c>
      <c r="G251" t="s">
        <v>20</v>
      </c>
      <c r="H251">
        <v>10021.5</v>
      </c>
      <c r="I251">
        <v>0</v>
      </c>
      <c r="J251">
        <v>10021.5</v>
      </c>
      <c r="O251" t="s">
        <v>21</v>
      </c>
      <c r="P251" t="s">
        <v>580</v>
      </c>
    </row>
    <row r="252" spans="1:16" x14ac:dyDescent="0.3">
      <c r="A252" t="s">
        <v>581</v>
      </c>
      <c r="C252" t="s">
        <v>17</v>
      </c>
      <c r="D252" t="s">
        <v>18</v>
      </c>
      <c r="E252" t="s">
        <v>19</v>
      </c>
      <c r="F252" t="s">
        <v>24</v>
      </c>
      <c r="G252" t="s">
        <v>20</v>
      </c>
      <c r="H252">
        <v>10050</v>
      </c>
      <c r="I252">
        <v>0</v>
      </c>
      <c r="J252">
        <v>10050</v>
      </c>
      <c r="O252" t="s">
        <v>21</v>
      </c>
      <c r="P252" t="s">
        <v>582</v>
      </c>
    </row>
    <row r="253" spans="1:16" x14ac:dyDescent="0.3">
      <c r="A253" t="s">
        <v>583</v>
      </c>
      <c r="C253" t="s">
        <v>17</v>
      </c>
      <c r="D253" t="s">
        <v>18</v>
      </c>
      <c r="E253" t="s">
        <v>19</v>
      </c>
      <c r="F253" t="s">
        <v>24</v>
      </c>
      <c r="G253" t="s">
        <v>20</v>
      </c>
      <c r="H253">
        <v>10050</v>
      </c>
      <c r="I253">
        <v>0</v>
      </c>
      <c r="J253">
        <v>10050</v>
      </c>
      <c r="O253" t="s">
        <v>21</v>
      </c>
      <c r="P253" t="s">
        <v>584</v>
      </c>
    </row>
    <row r="254" spans="1:16" x14ac:dyDescent="0.3">
      <c r="A254" t="s">
        <v>585</v>
      </c>
      <c r="C254" t="s">
        <v>17</v>
      </c>
      <c r="D254" t="s">
        <v>404</v>
      </c>
      <c r="E254" t="s">
        <v>19</v>
      </c>
      <c r="F254" t="s">
        <v>586</v>
      </c>
      <c r="G254" t="s">
        <v>20</v>
      </c>
      <c r="H254">
        <v>10095</v>
      </c>
      <c r="I254">
        <v>0</v>
      </c>
      <c r="J254">
        <v>0</v>
      </c>
      <c r="O254" t="s">
        <v>21</v>
      </c>
      <c r="P254" t="s">
        <v>587</v>
      </c>
    </row>
    <row r="255" spans="1:16" x14ac:dyDescent="0.3">
      <c r="A255" t="s">
        <v>588</v>
      </c>
      <c r="C255" t="s">
        <v>17</v>
      </c>
      <c r="D255" t="s">
        <v>408</v>
      </c>
      <c r="E255" t="s">
        <v>409</v>
      </c>
      <c r="G255" t="s">
        <v>20</v>
      </c>
      <c r="H255">
        <v>10200</v>
      </c>
      <c r="I255">
        <v>104.825</v>
      </c>
      <c r="J255">
        <v>10095.174999999999</v>
      </c>
      <c r="O255" t="s">
        <v>21</v>
      </c>
      <c r="P255" t="s">
        <v>589</v>
      </c>
    </row>
    <row r="256" spans="1:16" x14ac:dyDescent="0.3">
      <c r="A256" t="s">
        <v>590</v>
      </c>
      <c r="C256" t="s">
        <v>17</v>
      </c>
      <c r="D256" t="s">
        <v>18</v>
      </c>
      <c r="E256" t="s">
        <v>19</v>
      </c>
      <c r="G256" t="s">
        <v>20</v>
      </c>
      <c r="H256">
        <v>10021.5</v>
      </c>
      <c r="I256">
        <v>0</v>
      </c>
      <c r="J256">
        <v>10021.5</v>
      </c>
      <c r="O256" t="s">
        <v>21</v>
      </c>
      <c r="P256" t="s">
        <v>591</v>
      </c>
    </row>
    <row r="257" spans="1:16" x14ac:dyDescent="0.3">
      <c r="A257" t="s">
        <v>592</v>
      </c>
      <c r="C257" t="s">
        <v>17</v>
      </c>
      <c r="D257" t="s">
        <v>18</v>
      </c>
      <c r="E257" t="s">
        <v>19</v>
      </c>
      <c r="F257" t="s">
        <v>24</v>
      </c>
      <c r="G257" t="s">
        <v>20</v>
      </c>
      <c r="H257">
        <v>10100</v>
      </c>
      <c r="I257">
        <v>0</v>
      </c>
      <c r="J257">
        <v>10100</v>
      </c>
      <c r="O257" t="s">
        <v>21</v>
      </c>
      <c r="P257" t="s">
        <v>593</v>
      </c>
    </row>
    <row r="258" spans="1:16" x14ac:dyDescent="0.3">
      <c r="A258" t="s">
        <v>594</v>
      </c>
      <c r="C258" t="s">
        <v>17</v>
      </c>
      <c r="D258" t="s">
        <v>18</v>
      </c>
      <c r="E258" t="s">
        <v>19</v>
      </c>
      <c r="F258" t="s">
        <v>24</v>
      </c>
      <c r="G258" t="s">
        <v>20</v>
      </c>
      <c r="H258">
        <v>10100</v>
      </c>
      <c r="I258">
        <v>0</v>
      </c>
      <c r="J258">
        <v>10100</v>
      </c>
      <c r="O258" t="s">
        <v>21</v>
      </c>
      <c r="P258" t="s">
        <v>595</v>
      </c>
    </row>
    <row r="259" spans="1:16" x14ac:dyDescent="0.3">
      <c r="A259" t="s">
        <v>596</v>
      </c>
      <c r="C259" t="s">
        <v>17</v>
      </c>
      <c r="D259" t="s">
        <v>404</v>
      </c>
      <c r="E259" t="s">
        <v>19</v>
      </c>
      <c r="F259" t="s">
        <v>597</v>
      </c>
      <c r="G259" t="s">
        <v>20</v>
      </c>
      <c r="H259">
        <v>10095</v>
      </c>
      <c r="I259">
        <v>0</v>
      </c>
      <c r="J259">
        <v>0</v>
      </c>
      <c r="O259" t="s">
        <v>21</v>
      </c>
      <c r="P259" t="s">
        <v>598</v>
      </c>
    </row>
    <row r="260" spans="1:16" x14ac:dyDescent="0.3">
      <c r="A260" t="s">
        <v>599</v>
      </c>
      <c r="C260" t="s">
        <v>17</v>
      </c>
      <c r="D260" t="s">
        <v>408</v>
      </c>
      <c r="E260" t="s">
        <v>409</v>
      </c>
      <c r="G260" t="s">
        <v>20</v>
      </c>
      <c r="H260">
        <v>10200</v>
      </c>
      <c r="I260">
        <v>104.825</v>
      </c>
      <c r="J260">
        <v>10095.174999999999</v>
      </c>
      <c r="O260" t="s">
        <v>21</v>
      </c>
      <c r="P260" t="s">
        <v>600</v>
      </c>
    </row>
    <row r="261" spans="1:16" x14ac:dyDescent="0.3">
      <c r="A261" t="s">
        <v>601</v>
      </c>
      <c r="C261" t="s">
        <v>17</v>
      </c>
      <c r="D261" t="s">
        <v>18</v>
      </c>
      <c r="E261" t="s">
        <v>19</v>
      </c>
      <c r="G261" t="s">
        <v>20</v>
      </c>
      <c r="H261">
        <v>10021.5</v>
      </c>
      <c r="I261">
        <v>0</v>
      </c>
      <c r="J261">
        <v>10021.5</v>
      </c>
      <c r="O261" t="s">
        <v>21</v>
      </c>
      <c r="P261" t="s">
        <v>602</v>
      </c>
    </row>
    <row r="262" spans="1:16" x14ac:dyDescent="0.3">
      <c r="A262" t="s">
        <v>603</v>
      </c>
      <c r="C262" t="s">
        <v>17</v>
      </c>
      <c r="D262" t="s">
        <v>18</v>
      </c>
      <c r="E262" t="s">
        <v>19</v>
      </c>
      <c r="F262" t="s">
        <v>24</v>
      </c>
      <c r="G262" t="s">
        <v>20</v>
      </c>
      <c r="H262">
        <v>10100</v>
      </c>
      <c r="I262">
        <v>0</v>
      </c>
      <c r="J262">
        <v>10100</v>
      </c>
      <c r="O262" t="s">
        <v>21</v>
      </c>
      <c r="P262" t="s">
        <v>604</v>
      </c>
    </row>
    <row r="263" spans="1:16" x14ac:dyDescent="0.3">
      <c r="A263" t="s">
        <v>605</v>
      </c>
      <c r="C263" t="s">
        <v>17</v>
      </c>
      <c r="D263" t="s">
        <v>18</v>
      </c>
      <c r="E263" t="s">
        <v>19</v>
      </c>
      <c r="F263" t="s">
        <v>24</v>
      </c>
      <c r="G263" t="s">
        <v>20</v>
      </c>
      <c r="H263">
        <v>10100</v>
      </c>
      <c r="I263">
        <v>0</v>
      </c>
      <c r="J263">
        <v>10100</v>
      </c>
      <c r="O263" t="s">
        <v>21</v>
      </c>
      <c r="P263" t="s">
        <v>606</v>
      </c>
    </row>
    <row r="264" spans="1:16" x14ac:dyDescent="0.3">
      <c r="A264" t="s">
        <v>607</v>
      </c>
      <c r="C264" t="s">
        <v>17</v>
      </c>
      <c r="D264" t="s">
        <v>404</v>
      </c>
      <c r="E264" t="s">
        <v>19</v>
      </c>
      <c r="F264" t="s">
        <v>608</v>
      </c>
      <c r="G264" t="s">
        <v>20</v>
      </c>
      <c r="H264">
        <v>10095</v>
      </c>
      <c r="I264">
        <v>0</v>
      </c>
      <c r="J264">
        <v>0</v>
      </c>
      <c r="O264" t="s">
        <v>21</v>
      </c>
      <c r="P264" t="s">
        <v>609</v>
      </c>
    </row>
    <row r="265" spans="1:16" x14ac:dyDescent="0.3">
      <c r="A265" t="s">
        <v>610</v>
      </c>
      <c r="C265" t="s">
        <v>17</v>
      </c>
      <c r="D265" t="s">
        <v>408</v>
      </c>
      <c r="E265" t="s">
        <v>409</v>
      </c>
      <c r="G265" t="s">
        <v>20</v>
      </c>
      <c r="H265">
        <v>10200</v>
      </c>
      <c r="I265">
        <v>104.825</v>
      </c>
      <c r="J265">
        <v>10095.174999999999</v>
      </c>
      <c r="O265" t="s">
        <v>21</v>
      </c>
      <c r="P265" t="s">
        <v>611</v>
      </c>
    </row>
    <row r="266" spans="1:16" x14ac:dyDescent="0.3">
      <c r="A266" t="s">
        <v>612</v>
      </c>
      <c r="C266" t="s">
        <v>17</v>
      </c>
      <c r="D266" t="s">
        <v>18</v>
      </c>
      <c r="E266" t="s">
        <v>19</v>
      </c>
      <c r="G266" t="s">
        <v>20</v>
      </c>
      <c r="H266">
        <v>10011.5</v>
      </c>
      <c r="I266">
        <v>0</v>
      </c>
      <c r="J266">
        <v>10011.5</v>
      </c>
      <c r="O266" t="s">
        <v>21</v>
      </c>
      <c r="P266" t="s">
        <v>613</v>
      </c>
    </row>
    <row r="267" spans="1:16" x14ac:dyDescent="0.3">
      <c r="A267" t="s">
        <v>614</v>
      </c>
      <c r="C267" t="s">
        <v>17</v>
      </c>
      <c r="D267" t="s">
        <v>18</v>
      </c>
      <c r="E267" t="s">
        <v>19</v>
      </c>
      <c r="F267" t="s">
        <v>24</v>
      </c>
      <c r="G267" t="s">
        <v>20</v>
      </c>
      <c r="H267">
        <v>9980</v>
      </c>
      <c r="I267">
        <v>0</v>
      </c>
      <c r="J267">
        <v>9980</v>
      </c>
      <c r="O267" t="s">
        <v>21</v>
      </c>
      <c r="P267" t="s">
        <v>615</v>
      </c>
    </row>
    <row r="268" spans="1:16" x14ac:dyDescent="0.3">
      <c r="A268" t="s">
        <v>616</v>
      </c>
      <c r="C268" t="s">
        <v>17</v>
      </c>
      <c r="D268" t="s">
        <v>18</v>
      </c>
      <c r="E268" t="s">
        <v>19</v>
      </c>
      <c r="F268" t="s">
        <v>24</v>
      </c>
      <c r="G268" t="s">
        <v>20</v>
      </c>
      <c r="H268">
        <v>9980</v>
      </c>
      <c r="I268">
        <v>0</v>
      </c>
      <c r="J268">
        <v>9980</v>
      </c>
      <c r="O268" t="s">
        <v>21</v>
      </c>
      <c r="P268" t="s">
        <v>617</v>
      </c>
    </row>
    <row r="269" spans="1:16" x14ac:dyDescent="0.3">
      <c r="A269" t="s">
        <v>618</v>
      </c>
      <c r="C269" t="s">
        <v>17</v>
      </c>
      <c r="D269" t="s">
        <v>404</v>
      </c>
      <c r="E269" t="s">
        <v>19</v>
      </c>
      <c r="F269" t="s">
        <v>619</v>
      </c>
      <c r="G269" t="s">
        <v>20</v>
      </c>
      <c r="H269">
        <v>9995</v>
      </c>
      <c r="I269">
        <v>0</v>
      </c>
      <c r="J269">
        <v>0</v>
      </c>
      <c r="O269" t="s">
        <v>21</v>
      </c>
      <c r="P269" t="s">
        <v>620</v>
      </c>
    </row>
    <row r="270" spans="1:16" x14ac:dyDescent="0.3">
      <c r="A270" t="s">
        <v>621</v>
      </c>
      <c r="C270" t="s">
        <v>17</v>
      </c>
      <c r="D270" t="s">
        <v>408</v>
      </c>
      <c r="E270" t="s">
        <v>409</v>
      </c>
      <c r="G270" t="s">
        <v>20</v>
      </c>
      <c r="H270">
        <v>10100</v>
      </c>
      <c r="I270">
        <v>104.28749999999999</v>
      </c>
      <c r="J270">
        <v>9995.7124999999996</v>
      </c>
      <c r="O270" t="s">
        <v>21</v>
      </c>
      <c r="P270" t="s">
        <v>622</v>
      </c>
    </row>
    <row r="271" spans="1:16" x14ac:dyDescent="0.3">
      <c r="A271" t="s">
        <v>623</v>
      </c>
      <c r="C271" t="s">
        <v>17</v>
      </c>
      <c r="D271" t="s">
        <v>18</v>
      </c>
      <c r="E271" t="s">
        <v>19</v>
      </c>
      <c r="G271" t="s">
        <v>20</v>
      </c>
      <c r="H271">
        <v>10021.5</v>
      </c>
      <c r="I271">
        <v>0</v>
      </c>
      <c r="J271">
        <v>10021.5</v>
      </c>
      <c r="O271" t="s">
        <v>21</v>
      </c>
      <c r="P271" t="s">
        <v>624</v>
      </c>
    </row>
    <row r="272" spans="1:16" x14ac:dyDescent="0.3">
      <c r="A272" t="s">
        <v>625</v>
      </c>
      <c r="C272" t="s">
        <v>17</v>
      </c>
      <c r="D272" t="s">
        <v>18</v>
      </c>
      <c r="E272" t="s">
        <v>19</v>
      </c>
      <c r="F272" t="s">
        <v>24</v>
      </c>
      <c r="G272" t="s">
        <v>20</v>
      </c>
      <c r="H272">
        <v>9900</v>
      </c>
      <c r="I272">
        <v>0</v>
      </c>
      <c r="J272">
        <v>9900</v>
      </c>
      <c r="O272" t="s">
        <v>21</v>
      </c>
      <c r="P272" t="s">
        <v>626</v>
      </c>
    </row>
    <row r="273" spans="1:16" x14ac:dyDescent="0.3">
      <c r="A273" t="s">
        <v>627</v>
      </c>
      <c r="C273" t="s">
        <v>17</v>
      </c>
      <c r="D273" t="s">
        <v>18</v>
      </c>
      <c r="E273" t="s">
        <v>19</v>
      </c>
      <c r="F273" t="s">
        <v>24</v>
      </c>
      <c r="G273" t="s">
        <v>20</v>
      </c>
      <c r="H273">
        <v>9900</v>
      </c>
      <c r="I273">
        <v>0</v>
      </c>
      <c r="J273">
        <v>9900</v>
      </c>
      <c r="O273" t="s">
        <v>21</v>
      </c>
      <c r="P273" t="s">
        <v>628</v>
      </c>
    </row>
    <row r="274" spans="1:16" x14ac:dyDescent="0.3">
      <c r="A274" t="s">
        <v>629</v>
      </c>
      <c r="C274" t="s">
        <v>17</v>
      </c>
      <c r="D274" t="s">
        <v>404</v>
      </c>
      <c r="E274" t="s">
        <v>19</v>
      </c>
      <c r="F274" t="s">
        <v>630</v>
      </c>
      <c r="G274" t="s">
        <v>20</v>
      </c>
      <c r="H274">
        <v>9896</v>
      </c>
      <c r="I274">
        <v>0</v>
      </c>
      <c r="J274">
        <v>0</v>
      </c>
      <c r="O274" t="s">
        <v>21</v>
      </c>
      <c r="P274" t="s">
        <v>631</v>
      </c>
    </row>
    <row r="275" spans="1:16" x14ac:dyDescent="0.3">
      <c r="A275" t="s">
        <v>632</v>
      </c>
      <c r="C275" t="s">
        <v>17</v>
      </c>
      <c r="D275" t="s">
        <v>408</v>
      </c>
      <c r="E275" t="s">
        <v>409</v>
      </c>
      <c r="G275" t="s">
        <v>20</v>
      </c>
      <c r="H275">
        <v>9950</v>
      </c>
      <c r="I275">
        <v>53.481250000000003</v>
      </c>
      <c r="J275">
        <v>9896.5187499999993</v>
      </c>
      <c r="O275" t="s">
        <v>21</v>
      </c>
      <c r="P275" t="s">
        <v>633</v>
      </c>
    </row>
    <row r="276" spans="1:16" x14ac:dyDescent="0.3">
      <c r="A276" t="s">
        <v>634</v>
      </c>
      <c r="C276" t="s">
        <v>17</v>
      </c>
      <c r="D276" t="s">
        <v>18</v>
      </c>
      <c r="E276" t="s">
        <v>19</v>
      </c>
      <c r="G276" t="s">
        <v>20</v>
      </c>
      <c r="H276">
        <v>10021.5</v>
      </c>
      <c r="I276">
        <v>0</v>
      </c>
      <c r="J276">
        <v>10021.5</v>
      </c>
      <c r="O276" t="s">
        <v>21</v>
      </c>
      <c r="P276" t="s">
        <v>635</v>
      </c>
    </row>
    <row r="277" spans="1:16" x14ac:dyDescent="0.3">
      <c r="A277" t="s">
        <v>636</v>
      </c>
      <c r="C277" t="s">
        <v>17</v>
      </c>
      <c r="D277" t="s">
        <v>18</v>
      </c>
      <c r="E277" t="s">
        <v>19</v>
      </c>
      <c r="F277" t="s">
        <v>24</v>
      </c>
      <c r="G277" t="s">
        <v>20</v>
      </c>
      <c r="H277">
        <v>9990</v>
      </c>
      <c r="I277">
        <v>0</v>
      </c>
      <c r="J277">
        <v>9990</v>
      </c>
      <c r="O277" t="s">
        <v>21</v>
      </c>
      <c r="P277" t="s">
        <v>637</v>
      </c>
    </row>
    <row r="278" spans="1:16" x14ac:dyDescent="0.3">
      <c r="A278" t="s">
        <v>638</v>
      </c>
      <c r="C278" t="s">
        <v>17</v>
      </c>
      <c r="D278" t="s">
        <v>18</v>
      </c>
      <c r="E278" t="s">
        <v>19</v>
      </c>
      <c r="F278" t="s">
        <v>24</v>
      </c>
      <c r="G278" t="s">
        <v>20</v>
      </c>
      <c r="H278">
        <v>9990</v>
      </c>
      <c r="I278">
        <v>0</v>
      </c>
      <c r="J278">
        <v>9990</v>
      </c>
      <c r="O278" t="s">
        <v>21</v>
      </c>
      <c r="P278" t="s">
        <v>639</v>
      </c>
    </row>
    <row r="279" spans="1:16" x14ac:dyDescent="0.3">
      <c r="A279" t="s">
        <v>640</v>
      </c>
      <c r="C279" t="s">
        <v>17</v>
      </c>
      <c r="D279" t="s">
        <v>404</v>
      </c>
      <c r="E279" t="s">
        <v>19</v>
      </c>
      <c r="F279" t="s">
        <v>641</v>
      </c>
      <c r="G279" t="s">
        <v>20</v>
      </c>
      <c r="H279">
        <v>9945</v>
      </c>
      <c r="I279">
        <v>0</v>
      </c>
      <c r="J279">
        <v>0</v>
      </c>
      <c r="O279" t="s">
        <v>21</v>
      </c>
      <c r="P279" t="s">
        <v>642</v>
      </c>
    </row>
    <row r="280" spans="1:16" x14ac:dyDescent="0.3">
      <c r="A280" t="s">
        <v>643</v>
      </c>
      <c r="C280" t="s">
        <v>17</v>
      </c>
      <c r="D280" t="s">
        <v>408</v>
      </c>
      <c r="E280" t="s">
        <v>409</v>
      </c>
      <c r="G280" t="s">
        <v>20</v>
      </c>
      <c r="H280">
        <v>10050</v>
      </c>
      <c r="I280">
        <v>104.01875</v>
      </c>
      <c r="J280">
        <v>9945.9812500000007</v>
      </c>
      <c r="O280" t="s">
        <v>21</v>
      </c>
      <c r="P280" t="s">
        <v>644</v>
      </c>
    </row>
    <row r="281" spans="1:16" x14ac:dyDescent="0.3">
      <c r="A281" t="s">
        <v>645</v>
      </c>
      <c r="C281" t="s">
        <v>17</v>
      </c>
      <c r="D281" t="s">
        <v>18</v>
      </c>
      <c r="E281" t="s">
        <v>19</v>
      </c>
      <c r="G281" t="s">
        <v>20</v>
      </c>
      <c r="H281">
        <v>5021.5</v>
      </c>
      <c r="I281">
        <v>0</v>
      </c>
      <c r="J281">
        <v>5021.5</v>
      </c>
      <c r="O281" t="s">
        <v>21</v>
      </c>
      <c r="P281" t="s">
        <v>646</v>
      </c>
    </row>
    <row r="282" spans="1:16" x14ac:dyDescent="0.3">
      <c r="A282" t="s">
        <v>647</v>
      </c>
      <c r="C282" t="s">
        <v>17</v>
      </c>
      <c r="D282" t="s">
        <v>18</v>
      </c>
      <c r="E282" t="s">
        <v>19</v>
      </c>
      <c r="F282" t="s">
        <v>24</v>
      </c>
      <c r="G282" t="s">
        <v>20</v>
      </c>
      <c r="H282">
        <v>5020</v>
      </c>
      <c r="I282">
        <v>0</v>
      </c>
      <c r="J282">
        <v>5020</v>
      </c>
      <c r="O282" t="s">
        <v>21</v>
      </c>
      <c r="P282" t="s">
        <v>648</v>
      </c>
    </row>
    <row r="283" spans="1:16" x14ac:dyDescent="0.3">
      <c r="A283" t="s">
        <v>649</v>
      </c>
      <c r="C283" t="s">
        <v>17</v>
      </c>
      <c r="D283" t="s">
        <v>18</v>
      </c>
      <c r="E283" t="s">
        <v>19</v>
      </c>
      <c r="F283" t="s">
        <v>24</v>
      </c>
      <c r="G283" t="s">
        <v>20</v>
      </c>
      <c r="H283">
        <v>5020</v>
      </c>
      <c r="I283">
        <v>0</v>
      </c>
      <c r="J283">
        <v>5020</v>
      </c>
      <c r="O283" t="s">
        <v>21</v>
      </c>
      <c r="P283" t="s">
        <v>650</v>
      </c>
    </row>
    <row r="284" spans="1:16" x14ac:dyDescent="0.3">
      <c r="A284" t="s">
        <v>651</v>
      </c>
      <c r="C284" t="s">
        <v>17</v>
      </c>
      <c r="D284" t="s">
        <v>404</v>
      </c>
      <c r="E284" t="s">
        <v>19</v>
      </c>
      <c r="F284" t="s">
        <v>652</v>
      </c>
      <c r="G284" t="s">
        <v>20</v>
      </c>
      <c r="H284">
        <v>5022</v>
      </c>
      <c r="I284">
        <v>0</v>
      </c>
      <c r="J284">
        <v>0</v>
      </c>
      <c r="O284" t="s">
        <v>21</v>
      </c>
      <c r="P284" t="s">
        <v>653</v>
      </c>
    </row>
    <row r="285" spans="1:16" x14ac:dyDescent="0.3">
      <c r="A285" t="s">
        <v>654</v>
      </c>
      <c r="C285" t="s">
        <v>17</v>
      </c>
      <c r="D285" t="s">
        <v>408</v>
      </c>
      <c r="E285" t="s">
        <v>409</v>
      </c>
      <c r="G285" t="s">
        <v>20</v>
      </c>
      <c r="H285">
        <v>5050</v>
      </c>
      <c r="I285">
        <v>27.143749999999901</v>
      </c>
      <c r="J285">
        <v>5022.8562499999998</v>
      </c>
      <c r="O285" t="s">
        <v>21</v>
      </c>
      <c r="P285" t="s">
        <v>655</v>
      </c>
    </row>
    <row r="286" spans="1:16" x14ac:dyDescent="0.3">
      <c r="A286" t="s">
        <v>656</v>
      </c>
      <c r="C286" t="s">
        <v>17</v>
      </c>
      <c r="D286" t="s">
        <v>408</v>
      </c>
      <c r="E286" t="s">
        <v>409</v>
      </c>
      <c r="G286" t="s">
        <v>20</v>
      </c>
      <c r="H286">
        <v>5100</v>
      </c>
      <c r="I286">
        <v>27.412500000000001</v>
      </c>
      <c r="J286">
        <v>5072.5874999999996</v>
      </c>
      <c r="O286" t="s">
        <v>412</v>
      </c>
      <c r="P286" t="s">
        <v>657</v>
      </c>
    </row>
    <row r="287" spans="1:16" x14ac:dyDescent="0.3">
      <c r="A287" t="s">
        <v>658</v>
      </c>
      <c r="C287" t="s">
        <v>17</v>
      </c>
      <c r="D287" t="s">
        <v>18</v>
      </c>
      <c r="E287" t="s">
        <v>19</v>
      </c>
      <c r="G287" t="s">
        <v>20</v>
      </c>
      <c r="H287">
        <v>5021.5</v>
      </c>
      <c r="I287">
        <v>0</v>
      </c>
      <c r="J287">
        <v>5021.5</v>
      </c>
      <c r="O287" t="s">
        <v>21</v>
      </c>
      <c r="P287" t="s">
        <v>659</v>
      </c>
    </row>
    <row r="288" spans="1:16" x14ac:dyDescent="0.3">
      <c r="A288" t="s">
        <v>660</v>
      </c>
      <c r="C288" t="s">
        <v>17</v>
      </c>
      <c r="D288" t="s">
        <v>18</v>
      </c>
      <c r="E288" t="s">
        <v>19</v>
      </c>
      <c r="F288" t="s">
        <v>24</v>
      </c>
      <c r="G288" t="s">
        <v>20</v>
      </c>
      <c r="H288">
        <v>5100</v>
      </c>
      <c r="I288">
        <v>0</v>
      </c>
      <c r="J288">
        <v>5100</v>
      </c>
      <c r="O288" t="s">
        <v>21</v>
      </c>
      <c r="P288" t="s">
        <v>661</v>
      </c>
    </row>
    <row r="289" spans="1:16" x14ac:dyDescent="0.3">
      <c r="A289" t="s">
        <v>662</v>
      </c>
      <c r="C289" t="s">
        <v>17</v>
      </c>
      <c r="D289" t="s">
        <v>18</v>
      </c>
      <c r="E289" t="s">
        <v>19</v>
      </c>
      <c r="F289" t="s">
        <v>24</v>
      </c>
      <c r="G289" t="s">
        <v>20</v>
      </c>
      <c r="H289">
        <v>5100</v>
      </c>
      <c r="I289">
        <v>0</v>
      </c>
      <c r="J289">
        <v>5100</v>
      </c>
      <c r="O289" t="s">
        <v>21</v>
      </c>
      <c r="P289" t="s">
        <v>663</v>
      </c>
    </row>
    <row r="290" spans="1:16" x14ac:dyDescent="0.3">
      <c r="A290" t="s">
        <v>664</v>
      </c>
      <c r="C290" t="s">
        <v>17</v>
      </c>
      <c r="D290" t="s">
        <v>404</v>
      </c>
      <c r="E290" t="s">
        <v>19</v>
      </c>
      <c r="F290" t="s">
        <v>665</v>
      </c>
      <c r="G290" t="s">
        <v>20</v>
      </c>
      <c r="H290">
        <v>5072</v>
      </c>
      <c r="I290">
        <v>0</v>
      </c>
      <c r="J290">
        <v>0</v>
      </c>
      <c r="O290" t="s">
        <v>21</v>
      </c>
      <c r="P290" t="s">
        <v>666</v>
      </c>
    </row>
    <row r="291" spans="1:16" x14ac:dyDescent="0.3">
      <c r="A291" t="s">
        <v>667</v>
      </c>
      <c r="C291" t="s">
        <v>17</v>
      </c>
      <c r="D291" t="s">
        <v>408</v>
      </c>
      <c r="E291" t="s">
        <v>409</v>
      </c>
      <c r="G291" t="s">
        <v>20</v>
      </c>
      <c r="H291">
        <v>5100</v>
      </c>
      <c r="I291">
        <v>27.412500000000001</v>
      </c>
      <c r="J291">
        <v>5072.5874999999996</v>
      </c>
      <c r="O291" t="s">
        <v>21</v>
      </c>
      <c r="P291" t="s">
        <v>668</v>
      </c>
    </row>
    <row r="292" spans="1:16" x14ac:dyDescent="0.3">
      <c r="A292" t="s">
        <v>669</v>
      </c>
      <c r="C292" t="s">
        <v>17</v>
      </c>
      <c r="D292" t="s">
        <v>18</v>
      </c>
      <c r="E292" t="s">
        <v>19</v>
      </c>
      <c r="G292" t="s">
        <v>20</v>
      </c>
      <c r="H292">
        <v>5021.5</v>
      </c>
      <c r="I292">
        <v>0</v>
      </c>
      <c r="J292">
        <v>5021.5</v>
      </c>
      <c r="O292" t="s">
        <v>21</v>
      </c>
      <c r="P292" t="s">
        <v>670</v>
      </c>
    </row>
    <row r="293" spans="1:16" x14ac:dyDescent="0.3">
      <c r="A293" t="s">
        <v>671</v>
      </c>
      <c r="C293" t="s">
        <v>17</v>
      </c>
      <c r="D293" t="s">
        <v>18</v>
      </c>
      <c r="E293" t="s">
        <v>19</v>
      </c>
      <c r="F293" t="s">
        <v>24</v>
      </c>
      <c r="G293" t="s">
        <v>20</v>
      </c>
      <c r="H293">
        <v>5100</v>
      </c>
      <c r="I293">
        <v>0</v>
      </c>
      <c r="J293">
        <v>5100</v>
      </c>
      <c r="O293" t="s">
        <v>21</v>
      </c>
      <c r="P293" t="s">
        <v>672</v>
      </c>
    </row>
    <row r="294" spans="1:16" x14ac:dyDescent="0.3">
      <c r="A294" t="s">
        <v>673</v>
      </c>
      <c r="C294" t="s">
        <v>17</v>
      </c>
      <c r="D294" t="s">
        <v>18</v>
      </c>
      <c r="E294" t="s">
        <v>19</v>
      </c>
      <c r="F294" t="s">
        <v>24</v>
      </c>
      <c r="G294" t="s">
        <v>20</v>
      </c>
      <c r="H294">
        <v>5100</v>
      </c>
      <c r="I294">
        <v>0</v>
      </c>
      <c r="J294">
        <v>5100</v>
      </c>
      <c r="O294" t="s">
        <v>21</v>
      </c>
      <c r="P294" t="s">
        <v>674</v>
      </c>
    </row>
    <row r="295" spans="1:16" x14ac:dyDescent="0.3">
      <c r="A295" t="s">
        <v>675</v>
      </c>
      <c r="C295" t="s">
        <v>17</v>
      </c>
      <c r="D295" t="s">
        <v>404</v>
      </c>
      <c r="E295" t="s">
        <v>19</v>
      </c>
      <c r="F295" t="s">
        <v>676</v>
      </c>
      <c r="G295" t="s">
        <v>20</v>
      </c>
      <c r="H295">
        <v>5172</v>
      </c>
      <c r="I295">
        <v>0</v>
      </c>
      <c r="J295">
        <v>0</v>
      </c>
      <c r="O295" t="s">
        <v>21</v>
      </c>
      <c r="P295" t="s">
        <v>677</v>
      </c>
    </row>
    <row r="296" spans="1:16" x14ac:dyDescent="0.3">
      <c r="A296" t="s">
        <v>678</v>
      </c>
      <c r="C296" t="s">
        <v>17</v>
      </c>
      <c r="D296" t="s">
        <v>408</v>
      </c>
      <c r="E296" t="s">
        <v>409</v>
      </c>
      <c r="G296" t="s">
        <v>20</v>
      </c>
      <c r="H296">
        <v>5200</v>
      </c>
      <c r="I296">
        <v>27.95</v>
      </c>
      <c r="J296">
        <v>5172.05</v>
      </c>
      <c r="O296" t="s">
        <v>21</v>
      </c>
      <c r="P296" t="s">
        <v>679</v>
      </c>
    </row>
    <row r="297" spans="1:16" x14ac:dyDescent="0.3">
      <c r="A297" t="s">
        <v>680</v>
      </c>
      <c r="C297" t="s">
        <v>17</v>
      </c>
      <c r="D297" t="s">
        <v>18</v>
      </c>
      <c r="E297" t="s">
        <v>19</v>
      </c>
      <c r="G297" t="s">
        <v>20</v>
      </c>
      <c r="H297">
        <v>10021.5</v>
      </c>
      <c r="I297">
        <v>0</v>
      </c>
      <c r="J297">
        <v>10021.5</v>
      </c>
      <c r="O297" t="s">
        <v>21</v>
      </c>
      <c r="P297" t="s">
        <v>681</v>
      </c>
    </row>
    <row r="298" spans="1:16" x14ac:dyDescent="0.3">
      <c r="A298" t="s">
        <v>682</v>
      </c>
      <c r="C298" t="s">
        <v>17</v>
      </c>
      <c r="D298" t="s">
        <v>18</v>
      </c>
      <c r="E298" t="s">
        <v>19</v>
      </c>
      <c r="F298" t="s">
        <v>24</v>
      </c>
      <c r="G298" t="s">
        <v>20</v>
      </c>
      <c r="H298">
        <v>10030</v>
      </c>
      <c r="I298">
        <v>0</v>
      </c>
      <c r="J298">
        <v>10030</v>
      </c>
      <c r="O298" t="s">
        <v>21</v>
      </c>
      <c r="P298" t="s">
        <v>683</v>
      </c>
    </row>
    <row r="299" spans="1:16" x14ac:dyDescent="0.3">
      <c r="A299" t="s">
        <v>684</v>
      </c>
      <c r="C299" t="s">
        <v>17</v>
      </c>
      <c r="D299" t="s">
        <v>18</v>
      </c>
      <c r="E299" t="s">
        <v>19</v>
      </c>
      <c r="F299" t="s">
        <v>24</v>
      </c>
      <c r="G299" t="s">
        <v>20</v>
      </c>
      <c r="H299">
        <v>10030</v>
      </c>
      <c r="I299">
        <v>0</v>
      </c>
      <c r="J299">
        <v>10030</v>
      </c>
      <c r="O299" t="s">
        <v>21</v>
      </c>
      <c r="P299" t="s">
        <v>685</v>
      </c>
    </row>
    <row r="300" spans="1:16" x14ac:dyDescent="0.3">
      <c r="A300" t="s">
        <v>686</v>
      </c>
      <c r="C300" t="s">
        <v>17</v>
      </c>
      <c r="D300" t="s">
        <v>404</v>
      </c>
      <c r="E300" t="s">
        <v>19</v>
      </c>
      <c r="F300" t="s">
        <v>687</v>
      </c>
      <c r="G300" t="s">
        <v>20</v>
      </c>
      <c r="H300">
        <v>9995</v>
      </c>
      <c r="I300">
        <v>0</v>
      </c>
      <c r="J300">
        <v>0</v>
      </c>
      <c r="O300" t="s">
        <v>21</v>
      </c>
      <c r="P300" t="s">
        <v>688</v>
      </c>
    </row>
    <row r="301" spans="1:16" x14ac:dyDescent="0.3">
      <c r="A301" t="s">
        <v>689</v>
      </c>
      <c r="C301" t="s">
        <v>17</v>
      </c>
      <c r="D301" t="s">
        <v>408</v>
      </c>
      <c r="E301" t="s">
        <v>409</v>
      </c>
      <c r="G301" t="s">
        <v>20</v>
      </c>
      <c r="H301">
        <v>10100</v>
      </c>
      <c r="I301">
        <v>104.28749999999999</v>
      </c>
      <c r="J301">
        <v>9995.7124999999996</v>
      </c>
      <c r="O301" t="s">
        <v>21</v>
      </c>
      <c r="P301" t="s">
        <v>690</v>
      </c>
    </row>
    <row r="302" spans="1:16" x14ac:dyDescent="0.3">
      <c r="A302" t="s">
        <v>691</v>
      </c>
      <c r="C302" t="s">
        <v>17</v>
      </c>
      <c r="D302" t="s">
        <v>18</v>
      </c>
      <c r="E302" t="s">
        <v>19</v>
      </c>
      <c r="G302" t="s">
        <v>20</v>
      </c>
      <c r="H302">
        <v>4921.5</v>
      </c>
      <c r="I302">
        <v>0</v>
      </c>
      <c r="J302">
        <v>4921.5</v>
      </c>
      <c r="O302" t="s">
        <v>21</v>
      </c>
      <c r="P302" t="s">
        <v>692</v>
      </c>
    </row>
    <row r="303" spans="1:16" x14ac:dyDescent="0.3">
      <c r="A303" t="s">
        <v>693</v>
      </c>
      <c r="C303" t="s">
        <v>17</v>
      </c>
      <c r="D303" t="s">
        <v>18</v>
      </c>
      <c r="E303" t="s">
        <v>19</v>
      </c>
      <c r="G303" t="s">
        <v>20</v>
      </c>
      <c r="H303">
        <v>4950</v>
      </c>
      <c r="I303">
        <v>0</v>
      </c>
      <c r="J303">
        <v>4950</v>
      </c>
      <c r="O303" t="s">
        <v>21</v>
      </c>
      <c r="P303" t="s">
        <v>694</v>
      </c>
    </row>
    <row r="304" spans="1:16" x14ac:dyDescent="0.3">
      <c r="A304" t="s">
        <v>695</v>
      </c>
      <c r="C304" t="s">
        <v>17</v>
      </c>
      <c r="D304" t="s">
        <v>18</v>
      </c>
      <c r="E304" t="s">
        <v>19</v>
      </c>
      <c r="G304" t="s">
        <v>20</v>
      </c>
      <c r="H304">
        <v>4950</v>
      </c>
      <c r="I304">
        <v>0</v>
      </c>
      <c r="J304">
        <v>4950</v>
      </c>
      <c r="O304" t="s">
        <v>21</v>
      </c>
      <c r="P304" t="s">
        <v>696</v>
      </c>
    </row>
    <row r="305" spans="1:16" x14ac:dyDescent="0.3">
      <c r="A305" t="s">
        <v>697</v>
      </c>
      <c r="C305" t="s">
        <v>17</v>
      </c>
      <c r="D305" t="s">
        <v>404</v>
      </c>
      <c r="E305" t="s">
        <v>19</v>
      </c>
      <c r="F305" t="s">
        <v>698</v>
      </c>
      <c r="G305" t="s">
        <v>20</v>
      </c>
      <c r="H305">
        <v>4973</v>
      </c>
      <c r="I305">
        <v>0</v>
      </c>
      <c r="J305">
        <v>0</v>
      </c>
      <c r="O305" t="s">
        <v>21</v>
      </c>
      <c r="P305" t="s">
        <v>699</v>
      </c>
    </row>
    <row r="306" spans="1:16" x14ac:dyDescent="0.3">
      <c r="A306" t="s">
        <v>700</v>
      </c>
      <c r="C306" t="s">
        <v>17</v>
      </c>
      <c r="D306" t="s">
        <v>408</v>
      </c>
      <c r="E306" t="s">
        <v>409</v>
      </c>
      <c r="G306" t="s">
        <v>20</v>
      </c>
      <c r="H306">
        <v>5000</v>
      </c>
      <c r="I306">
        <v>26.874999999999901</v>
      </c>
      <c r="J306">
        <v>4973.125</v>
      </c>
      <c r="O306" t="s">
        <v>21</v>
      </c>
      <c r="P306" t="s">
        <v>701</v>
      </c>
    </row>
    <row r="307" spans="1:16" x14ac:dyDescent="0.3">
      <c r="A307" t="s">
        <v>702</v>
      </c>
      <c r="C307" t="s">
        <v>17</v>
      </c>
      <c r="D307" t="s">
        <v>18</v>
      </c>
      <c r="E307" t="s">
        <v>19</v>
      </c>
      <c r="G307" t="s">
        <v>20</v>
      </c>
      <c r="H307">
        <v>2521.5</v>
      </c>
      <c r="I307">
        <v>0</v>
      </c>
      <c r="J307">
        <v>2521.5</v>
      </c>
      <c r="O307" t="s">
        <v>21</v>
      </c>
      <c r="P307" t="s">
        <v>703</v>
      </c>
    </row>
    <row r="308" spans="1:16" x14ac:dyDescent="0.3">
      <c r="A308" t="s">
        <v>704</v>
      </c>
      <c r="C308" t="s">
        <v>17</v>
      </c>
      <c r="D308" t="s">
        <v>18</v>
      </c>
      <c r="E308" t="s">
        <v>19</v>
      </c>
      <c r="G308" t="s">
        <v>20</v>
      </c>
      <c r="H308">
        <v>2520</v>
      </c>
      <c r="I308">
        <v>0</v>
      </c>
      <c r="J308">
        <v>2520</v>
      </c>
      <c r="O308" t="s">
        <v>21</v>
      </c>
      <c r="P308" t="s">
        <v>705</v>
      </c>
    </row>
    <row r="309" spans="1:16" x14ac:dyDescent="0.3">
      <c r="A309" t="s">
        <v>706</v>
      </c>
      <c r="C309" t="s">
        <v>17</v>
      </c>
      <c r="D309" t="s">
        <v>18</v>
      </c>
      <c r="E309" t="s">
        <v>19</v>
      </c>
      <c r="G309" t="s">
        <v>20</v>
      </c>
      <c r="H309">
        <v>2520</v>
      </c>
      <c r="I309">
        <v>0</v>
      </c>
      <c r="J309">
        <v>2520</v>
      </c>
      <c r="O309" t="s">
        <v>21</v>
      </c>
      <c r="P309" t="s">
        <v>707</v>
      </c>
    </row>
    <row r="310" spans="1:16" x14ac:dyDescent="0.3">
      <c r="A310" t="s">
        <v>708</v>
      </c>
      <c r="C310" t="s">
        <v>17</v>
      </c>
      <c r="D310" t="s">
        <v>404</v>
      </c>
      <c r="E310" t="s">
        <v>19</v>
      </c>
      <c r="F310" t="s">
        <v>709</v>
      </c>
      <c r="G310" t="s">
        <v>20</v>
      </c>
      <c r="H310">
        <v>2486</v>
      </c>
      <c r="I310">
        <v>0</v>
      </c>
      <c r="J310">
        <v>0</v>
      </c>
      <c r="O310" t="s">
        <v>21</v>
      </c>
      <c r="P310" t="s">
        <v>710</v>
      </c>
    </row>
    <row r="311" spans="1:16" x14ac:dyDescent="0.3">
      <c r="A311" t="s">
        <v>711</v>
      </c>
      <c r="C311" t="s">
        <v>17</v>
      </c>
      <c r="D311" t="s">
        <v>408</v>
      </c>
      <c r="E311" t="s">
        <v>409</v>
      </c>
      <c r="G311" t="s">
        <v>20</v>
      </c>
      <c r="H311">
        <v>1500</v>
      </c>
      <c r="I311">
        <v>8.0624999999999893</v>
      </c>
      <c r="J311">
        <v>1491.9375</v>
      </c>
      <c r="O311" t="s">
        <v>21</v>
      </c>
      <c r="P311" t="s">
        <v>712</v>
      </c>
    </row>
    <row r="312" spans="1:16" x14ac:dyDescent="0.3">
      <c r="A312" t="s">
        <v>713</v>
      </c>
      <c r="C312" t="s">
        <v>17</v>
      </c>
      <c r="D312" t="s">
        <v>408</v>
      </c>
      <c r="E312" t="s">
        <v>409</v>
      </c>
      <c r="G312" t="s">
        <v>20</v>
      </c>
      <c r="H312">
        <v>1000</v>
      </c>
      <c r="I312">
        <v>5.375</v>
      </c>
      <c r="J312">
        <v>994.625</v>
      </c>
      <c r="O312" t="s">
        <v>21</v>
      </c>
      <c r="P312" t="s">
        <v>714</v>
      </c>
    </row>
    <row r="313" spans="1:16" x14ac:dyDescent="0.3">
      <c r="A313" t="s">
        <v>715</v>
      </c>
      <c r="C313" t="s">
        <v>17</v>
      </c>
      <c r="D313" t="s">
        <v>18</v>
      </c>
      <c r="E313" t="s">
        <v>19</v>
      </c>
      <c r="G313" t="s">
        <v>20</v>
      </c>
      <c r="H313">
        <v>41.5</v>
      </c>
      <c r="I313">
        <v>0</v>
      </c>
      <c r="J313">
        <v>41.5</v>
      </c>
      <c r="O313" t="s">
        <v>21</v>
      </c>
      <c r="P313" t="s">
        <v>716</v>
      </c>
    </row>
    <row r="314" spans="1:16" x14ac:dyDescent="0.3">
      <c r="A314" t="s">
        <v>717</v>
      </c>
      <c r="C314" t="s">
        <v>17</v>
      </c>
      <c r="D314" t="s">
        <v>18</v>
      </c>
      <c r="E314" t="s">
        <v>19</v>
      </c>
      <c r="G314" t="s">
        <v>20</v>
      </c>
      <c r="H314">
        <v>15021.5</v>
      </c>
      <c r="I314">
        <v>0</v>
      </c>
      <c r="J314">
        <v>15021.5</v>
      </c>
      <c r="O314" t="s">
        <v>21</v>
      </c>
      <c r="P314" t="s">
        <v>718</v>
      </c>
    </row>
    <row r="315" spans="1:16" x14ac:dyDescent="0.3">
      <c r="A315" t="s">
        <v>719</v>
      </c>
      <c r="C315" t="s">
        <v>17</v>
      </c>
      <c r="D315" t="s">
        <v>18</v>
      </c>
      <c r="E315" t="s">
        <v>19</v>
      </c>
      <c r="G315" t="s">
        <v>20</v>
      </c>
      <c r="H315">
        <v>15021.5</v>
      </c>
      <c r="I315">
        <v>0</v>
      </c>
      <c r="J315">
        <v>15021.5</v>
      </c>
      <c r="O315" t="s">
        <v>21</v>
      </c>
      <c r="P315" t="s">
        <v>720</v>
      </c>
    </row>
    <row r="316" spans="1:16" x14ac:dyDescent="0.3">
      <c r="A316" t="s">
        <v>721</v>
      </c>
      <c r="C316" t="s">
        <v>17</v>
      </c>
      <c r="D316" t="s">
        <v>18</v>
      </c>
      <c r="E316" t="s">
        <v>19</v>
      </c>
      <c r="G316" t="s">
        <v>20</v>
      </c>
      <c r="H316">
        <v>15000</v>
      </c>
      <c r="I316">
        <v>0</v>
      </c>
      <c r="J316">
        <v>15000</v>
      </c>
      <c r="O316" t="s">
        <v>21</v>
      </c>
      <c r="P316" t="s">
        <v>722</v>
      </c>
    </row>
    <row r="317" spans="1:16" x14ac:dyDescent="0.3">
      <c r="A317" t="s">
        <v>723</v>
      </c>
      <c r="C317" t="s">
        <v>17</v>
      </c>
      <c r="D317" t="s">
        <v>18</v>
      </c>
      <c r="E317" t="s">
        <v>19</v>
      </c>
      <c r="G317" t="s">
        <v>20</v>
      </c>
      <c r="H317">
        <v>15000</v>
      </c>
      <c r="I317">
        <v>0</v>
      </c>
      <c r="J317">
        <v>15000</v>
      </c>
      <c r="O317" t="s">
        <v>21</v>
      </c>
      <c r="P317" t="s">
        <v>724</v>
      </c>
    </row>
    <row r="318" spans="1:16" x14ac:dyDescent="0.3">
      <c r="A318" t="s">
        <v>725</v>
      </c>
      <c r="C318" t="s">
        <v>17</v>
      </c>
      <c r="D318" t="s">
        <v>404</v>
      </c>
      <c r="E318" t="s">
        <v>19</v>
      </c>
      <c r="F318" t="s">
        <v>726</v>
      </c>
      <c r="G318" t="s">
        <v>20</v>
      </c>
      <c r="H318">
        <v>15018</v>
      </c>
      <c r="I318">
        <v>0</v>
      </c>
      <c r="J318">
        <v>0</v>
      </c>
      <c r="O318" t="s">
        <v>21</v>
      </c>
      <c r="P318" t="s">
        <v>727</v>
      </c>
    </row>
    <row r="319" spans="1:16" x14ac:dyDescent="0.3">
      <c r="A319" t="s">
        <v>728</v>
      </c>
      <c r="C319" t="s">
        <v>17</v>
      </c>
      <c r="D319" t="s">
        <v>408</v>
      </c>
      <c r="E319" t="s">
        <v>409</v>
      </c>
      <c r="G319" t="s">
        <v>20</v>
      </c>
      <c r="H319">
        <v>15100</v>
      </c>
      <c r="I319">
        <v>81.162499999999994</v>
      </c>
      <c r="J319">
        <v>15018.8375</v>
      </c>
      <c r="O319" t="s">
        <v>21</v>
      </c>
      <c r="P319" t="s">
        <v>729</v>
      </c>
    </row>
    <row r="320" spans="1:16" x14ac:dyDescent="0.3">
      <c r="A320" t="s">
        <v>730</v>
      </c>
      <c r="C320" t="s">
        <v>17</v>
      </c>
      <c r="D320" t="s">
        <v>18</v>
      </c>
      <c r="E320" t="s">
        <v>19</v>
      </c>
      <c r="G320" t="s">
        <v>20</v>
      </c>
      <c r="H320">
        <v>15021.5</v>
      </c>
      <c r="I320">
        <v>0</v>
      </c>
      <c r="J320">
        <v>15021.5</v>
      </c>
      <c r="O320" t="s">
        <v>21</v>
      </c>
      <c r="P320" t="s">
        <v>731</v>
      </c>
    </row>
    <row r="321" spans="1:16" x14ac:dyDescent="0.3">
      <c r="A321" t="s">
        <v>732</v>
      </c>
      <c r="C321" t="s">
        <v>17</v>
      </c>
      <c r="D321" t="s">
        <v>18</v>
      </c>
      <c r="E321" t="s">
        <v>19</v>
      </c>
      <c r="G321" t="s">
        <v>20</v>
      </c>
      <c r="H321">
        <v>15021.5</v>
      </c>
      <c r="I321">
        <v>0</v>
      </c>
      <c r="J321">
        <v>15021.5</v>
      </c>
      <c r="O321" t="s">
        <v>21</v>
      </c>
      <c r="P321" t="s">
        <v>733</v>
      </c>
    </row>
    <row r="322" spans="1:16" x14ac:dyDescent="0.3">
      <c r="A322" t="s">
        <v>734</v>
      </c>
      <c r="C322" t="s">
        <v>17</v>
      </c>
      <c r="D322" t="s">
        <v>18</v>
      </c>
      <c r="E322" t="s">
        <v>19</v>
      </c>
      <c r="G322" t="s">
        <v>20</v>
      </c>
      <c r="H322">
        <v>15040</v>
      </c>
      <c r="I322">
        <v>0</v>
      </c>
      <c r="J322">
        <v>15040</v>
      </c>
      <c r="O322" t="s">
        <v>21</v>
      </c>
      <c r="P322" t="s">
        <v>735</v>
      </c>
    </row>
    <row r="323" spans="1:16" x14ac:dyDescent="0.3">
      <c r="A323" t="s">
        <v>736</v>
      </c>
      <c r="C323" t="s">
        <v>17</v>
      </c>
      <c r="D323" t="s">
        <v>18</v>
      </c>
      <c r="E323" t="s">
        <v>19</v>
      </c>
      <c r="G323" t="s">
        <v>20</v>
      </c>
      <c r="H323">
        <v>15040</v>
      </c>
      <c r="I323">
        <v>0</v>
      </c>
      <c r="J323">
        <v>15040</v>
      </c>
      <c r="O323" t="s">
        <v>21</v>
      </c>
      <c r="P323" t="s">
        <v>737</v>
      </c>
    </row>
    <row r="324" spans="1:16" x14ac:dyDescent="0.3">
      <c r="A324" t="s">
        <v>738</v>
      </c>
      <c r="C324" t="s">
        <v>17</v>
      </c>
      <c r="D324" t="s">
        <v>404</v>
      </c>
      <c r="E324" t="s">
        <v>19</v>
      </c>
      <c r="F324" t="s">
        <v>739</v>
      </c>
      <c r="G324" t="s">
        <v>20</v>
      </c>
      <c r="H324">
        <v>15018</v>
      </c>
      <c r="I324">
        <v>0</v>
      </c>
      <c r="J324">
        <v>0</v>
      </c>
      <c r="O324" t="s">
        <v>21</v>
      </c>
      <c r="P324" t="s">
        <v>740</v>
      </c>
    </row>
    <row r="325" spans="1:16" x14ac:dyDescent="0.3">
      <c r="A325" t="s">
        <v>741</v>
      </c>
      <c r="C325" t="s">
        <v>17</v>
      </c>
      <c r="D325" t="s">
        <v>408</v>
      </c>
      <c r="E325" t="s">
        <v>409</v>
      </c>
      <c r="G325" t="s">
        <v>20</v>
      </c>
      <c r="H325">
        <v>15100</v>
      </c>
      <c r="I325">
        <v>81.162499999999994</v>
      </c>
      <c r="J325">
        <v>15018.8375</v>
      </c>
      <c r="O325" t="s">
        <v>21</v>
      </c>
      <c r="P325" t="s">
        <v>742</v>
      </c>
    </row>
    <row r="326" spans="1:16" x14ac:dyDescent="0.3">
      <c r="A326" t="s">
        <v>743</v>
      </c>
      <c r="C326" t="s">
        <v>17</v>
      </c>
      <c r="D326" t="s">
        <v>18</v>
      </c>
      <c r="E326" t="s">
        <v>19</v>
      </c>
      <c r="G326" t="s">
        <v>20</v>
      </c>
      <c r="H326">
        <v>14971.5</v>
      </c>
      <c r="I326">
        <v>0</v>
      </c>
      <c r="J326">
        <v>14971.5</v>
      </c>
      <c r="O326" t="s">
        <v>21</v>
      </c>
      <c r="P326" t="s">
        <v>744</v>
      </c>
    </row>
    <row r="327" spans="1:16" x14ac:dyDescent="0.3">
      <c r="A327" t="s">
        <v>745</v>
      </c>
      <c r="C327" t="s">
        <v>17</v>
      </c>
      <c r="D327" t="s">
        <v>18</v>
      </c>
      <c r="E327" t="s">
        <v>19</v>
      </c>
      <c r="G327" t="s">
        <v>20</v>
      </c>
      <c r="H327">
        <v>14950</v>
      </c>
      <c r="I327">
        <v>0</v>
      </c>
      <c r="J327">
        <v>14950</v>
      </c>
      <c r="O327" t="s">
        <v>21</v>
      </c>
      <c r="P327" t="s">
        <v>746</v>
      </c>
    </row>
    <row r="328" spans="1:16" x14ac:dyDescent="0.3">
      <c r="A328" t="s">
        <v>747</v>
      </c>
      <c r="C328" t="s">
        <v>17</v>
      </c>
      <c r="D328" t="s">
        <v>18</v>
      </c>
      <c r="E328" t="s">
        <v>19</v>
      </c>
      <c r="G328" t="s">
        <v>20</v>
      </c>
      <c r="H328">
        <v>14950</v>
      </c>
      <c r="I328">
        <v>0</v>
      </c>
      <c r="J328">
        <v>14950</v>
      </c>
      <c r="O328" t="s">
        <v>21</v>
      </c>
      <c r="P328" t="s">
        <v>748</v>
      </c>
    </row>
    <row r="329" spans="1:16" x14ac:dyDescent="0.3">
      <c r="A329" t="s">
        <v>749</v>
      </c>
      <c r="C329" t="s">
        <v>17</v>
      </c>
      <c r="D329" t="s">
        <v>404</v>
      </c>
      <c r="E329" t="s">
        <v>19</v>
      </c>
      <c r="F329" t="s">
        <v>750</v>
      </c>
      <c r="G329" t="s">
        <v>20</v>
      </c>
      <c r="H329">
        <v>14919</v>
      </c>
      <c r="I329">
        <v>0</v>
      </c>
      <c r="J329">
        <v>0</v>
      </c>
      <c r="O329" t="s">
        <v>21</v>
      </c>
      <c r="P329" t="s">
        <v>751</v>
      </c>
    </row>
    <row r="330" spans="1:16" x14ac:dyDescent="0.3">
      <c r="A330" t="s">
        <v>752</v>
      </c>
      <c r="C330" t="s">
        <v>17</v>
      </c>
      <c r="D330" t="s">
        <v>408</v>
      </c>
      <c r="E330" t="s">
        <v>409</v>
      </c>
      <c r="G330" t="s">
        <v>20</v>
      </c>
      <c r="H330">
        <v>15000</v>
      </c>
      <c r="I330">
        <v>80.625</v>
      </c>
      <c r="J330">
        <v>14919.375</v>
      </c>
      <c r="O330" t="s">
        <v>21</v>
      </c>
      <c r="P330" t="s">
        <v>753</v>
      </c>
    </row>
    <row r="331" spans="1:16" x14ac:dyDescent="0.3">
      <c r="A331" t="s">
        <v>754</v>
      </c>
      <c r="C331" t="s">
        <v>17</v>
      </c>
      <c r="D331" t="s">
        <v>408</v>
      </c>
      <c r="E331" t="s">
        <v>409</v>
      </c>
      <c r="G331" t="s">
        <v>20</v>
      </c>
      <c r="H331">
        <v>15100</v>
      </c>
      <c r="I331">
        <v>81.162499999999994</v>
      </c>
      <c r="J331">
        <v>15018.8375</v>
      </c>
      <c r="O331" t="s">
        <v>412</v>
      </c>
      <c r="P331" t="s">
        <v>755</v>
      </c>
    </row>
    <row r="332" spans="1:16" x14ac:dyDescent="0.3">
      <c r="A332" t="s">
        <v>756</v>
      </c>
      <c r="C332" t="s">
        <v>17</v>
      </c>
      <c r="D332" t="s">
        <v>18</v>
      </c>
      <c r="E332" t="s">
        <v>19</v>
      </c>
      <c r="G332" t="s">
        <v>20</v>
      </c>
      <c r="H332">
        <v>2421.5</v>
      </c>
      <c r="I332">
        <v>0</v>
      </c>
      <c r="J332">
        <v>2421.5</v>
      </c>
      <c r="O332" t="s">
        <v>21</v>
      </c>
      <c r="P332" t="s">
        <v>757</v>
      </c>
    </row>
    <row r="333" spans="1:16" x14ac:dyDescent="0.3">
      <c r="A333" t="s">
        <v>758</v>
      </c>
      <c r="C333" t="s">
        <v>17</v>
      </c>
      <c r="D333" t="s">
        <v>18</v>
      </c>
      <c r="E333" t="s">
        <v>19</v>
      </c>
      <c r="G333" t="s">
        <v>20</v>
      </c>
      <c r="H333">
        <v>2400</v>
      </c>
      <c r="I333">
        <v>0</v>
      </c>
      <c r="J333">
        <v>2400</v>
      </c>
      <c r="O333" t="s">
        <v>21</v>
      </c>
      <c r="P333" t="s">
        <v>759</v>
      </c>
    </row>
    <row r="334" spans="1:16" x14ac:dyDescent="0.3">
      <c r="A334" t="s">
        <v>760</v>
      </c>
      <c r="C334" t="s">
        <v>17</v>
      </c>
      <c r="D334" t="s">
        <v>18</v>
      </c>
      <c r="E334" t="s">
        <v>19</v>
      </c>
      <c r="G334" t="s">
        <v>20</v>
      </c>
      <c r="H334">
        <v>2400</v>
      </c>
      <c r="I334">
        <v>0</v>
      </c>
      <c r="J334">
        <v>2400</v>
      </c>
      <c r="O334" t="s">
        <v>21</v>
      </c>
      <c r="P334" t="s">
        <v>761</v>
      </c>
    </row>
    <row r="335" spans="1:16" x14ac:dyDescent="0.3">
      <c r="A335" t="s">
        <v>762</v>
      </c>
      <c r="C335" t="s">
        <v>17</v>
      </c>
      <c r="D335" t="s">
        <v>404</v>
      </c>
      <c r="E335" t="s">
        <v>19</v>
      </c>
      <c r="F335" t="s">
        <v>763</v>
      </c>
      <c r="G335" t="s">
        <v>20</v>
      </c>
      <c r="H335">
        <v>2486</v>
      </c>
      <c r="I335">
        <v>0</v>
      </c>
      <c r="J335">
        <v>0</v>
      </c>
      <c r="O335" t="s">
        <v>21</v>
      </c>
      <c r="P335" t="s">
        <v>764</v>
      </c>
    </row>
    <row r="336" spans="1:16" x14ac:dyDescent="0.3">
      <c r="A336" t="s">
        <v>765</v>
      </c>
      <c r="C336" t="s">
        <v>17</v>
      </c>
      <c r="D336" t="s">
        <v>408</v>
      </c>
      <c r="E336" t="s">
        <v>409</v>
      </c>
      <c r="G336" t="s">
        <v>20</v>
      </c>
      <c r="H336">
        <v>2500</v>
      </c>
      <c r="I336">
        <v>13.437499999999901</v>
      </c>
      <c r="J336">
        <v>2486.5625</v>
      </c>
      <c r="O336" t="s">
        <v>21</v>
      </c>
      <c r="P336" t="s">
        <v>766</v>
      </c>
    </row>
    <row r="337" spans="1:16" x14ac:dyDescent="0.3">
      <c r="A337" t="s">
        <v>767</v>
      </c>
      <c r="C337" t="s">
        <v>17</v>
      </c>
      <c r="D337" t="s">
        <v>18</v>
      </c>
      <c r="E337" t="s">
        <v>19</v>
      </c>
      <c r="G337" t="s">
        <v>20</v>
      </c>
      <c r="H337">
        <v>7121.5</v>
      </c>
      <c r="I337">
        <v>0</v>
      </c>
      <c r="J337">
        <v>7121.5</v>
      </c>
      <c r="O337" t="s">
        <v>21</v>
      </c>
      <c r="P337" t="s">
        <v>768</v>
      </c>
    </row>
    <row r="338" spans="1:16" x14ac:dyDescent="0.3">
      <c r="A338" t="s">
        <v>769</v>
      </c>
      <c r="C338" t="s">
        <v>17</v>
      </c>
      <c r="D338" t="s">
        <v>18</v>
      </c>
      <c r="E338" t="s">
        <v>19</v>
      </c>
      <c r="G338" t="s">
        <v>20</v>
      </c>
      <c r="H338">
        <v>7200</v>
      </c>
      <c r="I338">
        <v>0</v>
      </c>
      <c r="J338">
        <v>7200</v>
      </c>
      <c r="O338" t="s">
        <v>21</v>
      </c>
      <c r="P338" t="s">
        <v>770</v>
      </c>
    </row>
    <row r="339" spans="1:16" x14ac:dyDescent="0.3">
      <c r="A339" t="s">
        <v>771</v>
      </c>
      <c r="C339" t="s">
        <v>17</v>
      </c>
      <c r="D339" t="s">
        <v>18</v>
      </c>
      <c r="E339" t="s">
        <v>19</v>
      </c>
      <c r="G339" t="s">
        <v>20</v>
      </c>
      <c r="H339">
        <v>7200</v>
      </c>
      <c r="I339">
        <v>0</v>
      </c>
      <c r="J339">
        <v>7200</v>
      </c>
      <c r="O339" t="s">
        <v>21</v>
      </c>
      <c r="P339" t="s">
        <v>772</v>
      </c>
    </row>
    <row r="340" spans="1:16" x14ac:dyDescent="0.3">
      <c r="A340" t="s">
        <v>773</v>
      </c>
      <c r="C340" t="s">
        <v>17</v>
      </c>
      <c r="D340" t="s">
        <v>404</v>
      </c>
      <c r="E340" t="s">
        <v>19</v>
      </c>
      <c r="F340" t="s">
        <v>774</v>
      </c>
      <c r="G340" t="s">
        <v>20</v>
      </c>
      <c r="H340">
        <v>7161</v>
      </c>
      <c r="I340">
        <v>0</v>
      </c>
      <c r="J340">
        <v>0</v>
      </c>
      <c r="O340" t="s">
        <v>21</v>
      </c>
      <c r="P340" t="s">
        <v>775</v>
      </c>
    </row>
    <row r="341" spans="1:16" x14ac:dyDescent="0.3">
      <c r="A341" t="s">
        <v>776</v>
      </c>
      <c r="C341" t="s">
        <v>17</v>
      </c>
      <c r="D341" t="s">
        <v>408</v>
      </c>
      <c r="E341" t="s">
        <v>409</v>
      </c>
      <c r="G341" t="s">
        <v>20</v>
      </c>
      <c r="H341">
        <v>7200</v>
      </c>
      <c r="I341">
        <v>38.700000000000003</v>
      </c>
      <c r="J341">
        <v>7161.3</v>
      </c>
      <c r="O341" t="s">
        <v>21</v>
      </c>
      <c r="P341" t="s">
        <v>777</v>
      </c>
    </row>
    <row r="342" spans="1:16" x14ac:dyDescent="0.3">
      <c r="A342" t="s">
        <v>778</v>
      </c>
      <c r="C342" t="s">
        <v>17</v>
      </c>
      <c r="D342" t="s">
        <v>18</v>
      </c>
      <c r="E342" t="s">
        <v>19</v>
      </c>
      <c r="G342" t="s">
        <v>20</v>
      </c>
      <c r="H342">
        <v>15021.5</v>
      </c>
      <c r="I342">
        <v>0</v>
      </c>
      <c r="J342">
        <v>15021.5</v>
      </c>
      <c r="O342" t="s">
        <v>21</v>
      </c>
      <c r="P342" t="s">
        <v>779</v>
      </c>
    </row>
    <row r="343" spans="1:16" x14ac:dyDescent="0.3">
      <c r="A343" t="s">
        <v>780</v>
      </c>
      <c r="C343" t="s">
        <v>17</v>
      </c>
      <c r="D343" t="s">
        <v>18</v>
      </c>
      <c r="E343" t="s">
        <v>19</v>
      </c>
      <c r="G343" t="s">
        <v>20</v>
      </c>
      <c r="H343">
        <v>15020</v>
      </c>
      <c r="I343">
        <v>0</v>
      </c>
      <c r="J343">
        <v>15020</v>
      </c>
      <c r="O343" t="s">
        <v>21</v>
      </c>
      <c r="P343" t="s">
        <v>781</v>
      </c>
    </row>
    <row r="344" spans="1:16" x14ac:dyDescent="0.3">
      <c r="A344" t="s">
        <v>782</v>
      </c>
      <c r="C344" t="s">
        <v>17</v>
      </c>
      <c r="D344" t="s">
        <v>18</v>
      </c>
      <c r="E344" t="s">
        <v>19</v>
      </c>
      <c r="G344" t="s">
        <v>20</v>
      </c>
      <c r="H344">
        <v>15020</v>
      </c>
      <c r="I344">
        <v>0</v>
      </c>
      <c r="J344">
        <v>15020</v>
      </c>
      <c r="O344" t="s">
        <v>21</v>
      </c>
      <c r="P344" t="s">
        <v>783</v>
      </c>
    </row>
    <row r="345" spans="1:16" x14ac:dyDescent="0.3">
      <c r="A345" t="s">
        <v>784</v>
      </c>
      <c r="C345" t="s">
        <v>17</v>
      </c>
      <c r="D345" t="s">
        <v>404</v>
      </c>
      <c r="E345" t="s">
        <v>19</v>
      </c>
      <c r="F345" t="s">
        <v>785</v>
      </c>
      <c r="G345" t="s">
        <v>20</v>
      </c>
      <c r="H345">
        <v>15018</v>
      </c>
      <c r="I345">
        <v>0</v>
      </c>
      <c r="J345">
        <v>0</v>
      </c>
      <c r="O345" t="s">
        <v>21</v>
      </c>
      <c r="P345" t="s">
        <v>786</v>
      </c>
    </row>
    <row r="346" spans="1:16" x14ac:dyDescent="0.3">
      <c r="A346" t="s">
        <v>787</v>
      </c>
      <c r="C346" t="s">
        <v>17</v>
      </c>
      <c r="D346" t="s">
        <v>408</v>
      </c>
      <c r="E346" t="s">
        <v>409</v>
      </c>
      <c r="G346" t="s">
        <v>20</v>
      </c>
      <c r="H346">
        <v>15100</v>
      </c>
      <c r="I346">
        <v>81.162499999999994</v>
      </c>
      <c r="J346">
        <v>15018.8375</v>
      </c>
      <c r="O346" t="s">
        <v>21</v>
      </c>
      <c r="P346" t="s">
        <v>788</v>
      </c>
    </row>
    <row r="347" spans="1:16" x14ac:dyDescent="0.3">
      <c r="A347" t="s">
        <v>789</v>
      </c>
      <c r="C347" t="s">
        <v>17</v>
      </c>
      <c r="D347" t="s">
        <v>18</v>
      </c>
      <c r="E347" t="s">
        <v>19</v>
      </c>
      <c r="G347" t="s">
        <v>20</v>
      </c>
      <c r="H347">
        <v>14921.5</v>
      </c>
      <c r="I347">
        <v>0</v>
      </c>
      <c r="J347">
        <v>14921.5</v>
      </c>
      <c r="O347" t="s">
        <v>21</v>
      </c>
      <c r="P347" t="s">
        <v>790</v>
      </c>
    </row>
    <row r="348" spans="1:16" x14ac:dyDescent="0.3">
      <c r="A348" t="s">
        <v>791</v>
      </c>
      <c r="C348" t="s">
        <v>17</v>
      </c>
      <c r="D348" t="s">
        <v>18</v>
      </c>
      <c r="E348" t="s">
        <v>19</v>
      </c>
      <c r="G348" t="s">
        <v>20</v>
      </c>
      <c r="H348">
        <v>14900</v>
      </c>
      <c r="I348">
        <v>0</v>
      </c>
      <c r="J348">
        <v>14900</v>
      </c>
      <c r="O348" t="s">
        <v>21</v>
      </c>
      <c r="P348" t="s">
        <v>792</v>
      </c>
    </row>
    <row r="349" spans="1:16" x14ac:dyDescent="0.3">
      <c r="A349" t="s">
        <v>793</v>
      </c>
      <c r="C349" t="s">
        <v>17</v>
      </c>
      <c r="D349" t="s">
        <v>18</v>
      </c>
      <c r="E349" t="s">
        <v>19</v>
      </c>
      <c r="G349" t="s">
        <v>20</v>
      </c>
      <c r="H349">
        <v>14900</v>
      </c>
      <c r="I349">
        <v>0</v>
      </c>
      <c r="J349">
        <v>14900</v>
      </c>
      <c r="O349" t="s">
        <v>21</v>
      </c>
      <c r="P349" t="s">
        <v>794</v>
      </c>
    </row>
    <row r="350" spans="1:16" x14ac:dyDescent="0.3">
      <c r="A350" t="s">
        <v>795</v>
      </c>
      <c r="C350" t="s">
        <v>17</v>
      </c>
      <c r="D350" t="s">
        <v>404</v>
      </c>
      <c r="E350" t="s">
        <v>19</v>
      </c>
      <c r="F350" t="s">
        <v>796</v>
      </c>
      <c r="G350" t="s">
        <v>20</v>
      </c>
      <c r="H350">
        <v>14919</v>
      </c>
      <c r="I350">
        <v>0</v>
      </c>
      <c r="J350">
        <v>0</v>
      </c>
      <c r="O350" t="s">
        <v>21</v>
      </c>
      <c r="P350" t="s">
        <v>797</v>
      </c>
    </row>
    <row r="351" spans="1:16" x14ac:dyDescent="0.3">
      <c r="A351" t="s">
        <v>798</v>
      </c>
      <c r="C351" t="s">
        <v>17</v>
      </c>
      <c r="D351" t="s">
        <v>408</v>
      </c>
      <c r="E351" t="s">
        <v>409</v>
      </c>
      <c r="G351" t="s">
        <v>20</v>
      </c>
      <c r="H351">
        <v>15000</v>
      </c>
      <c r="I351">
        <v>80.625</v>
      </c>
      <c r="J351">
        <v>14919.375</v>
      </c>
      <c r="O351" t="s">
        <v>21</v>
      </c>
      <c r="P351" t="s">
        <v>799</v>
      </c>
    </row>
    <row r="352" spans="1:16" x14ac:dyDescent="0.3">
      <c r="A352" t="s">
        <v>800</v>
      </c>
      <c r="C352" t="s">
        <v>17</v>
      </c>
      <c r="D352" t="s">
        <v>408</v>
      </c>
      <c r="E352" t="s">
        <v>409</v>
      </c>
      <c r="G352" t="s">
        <v>20</v>
      </c>
      <c r="H352">
        <v>15050</v>
      </c>
      <c r="I352">
        <v>80.893749999999997</v>
      </c>
      <c r="J352">
        <v>14969.106250000001</v>
      </c>
      <c r="O352" t="s">
        <v>412</v>
      </c>
      <c r="P352" t="s">
        <v>801</v>
      </c>
    </row>
    <row r="353" spans="1:16" x14ac:dyDescent="0.3">
      <c r="A353" t="s">
        <v>802</v>
      </c>
      <c r="C353" t="s">
        <v>17</v>
      </c>
      <c r="D353" t="s">
        <v>408</v>
      </c>
      <c r="E353" t="s">
        <v>409</v>
      </c>
      <c r="G353" t="s">
        <v>20</v>
      </c>
      <c r="H353">
        <v>15100</v>
      </c>
      <c r="I353">
        <v>81.162499999999994</v>
      </c>
      <c r="J353">
        <v>15018.8375</v>
      </c>
      <c r="O353" t="s">
        <v>412</v>
      </c>
      <c r="P353" t="s">
        <v>803</v>
      </c>
    </row>
    <row r="354" spans="1:16" x14ac:dyDescent="0.3">
      <c r="A354" t="s">
        <v>804</v>
      </c>
      <c r="C354" t="s">
        <v>17</v>
      </c>
      <c r="D354" t="s">
        <v>18</v>
      </c>
      <c r="E354" t="s">
        <v>19</v>
      </c>
      <c r="G354" t="s">
        <v>20</v>
      </c>
      <c r="H354">
        <v>15071.5</v>
      </c>
      <c r="I354">
        <v>0</v>
      </c>
      <c r="J354">
        <v>15071.5</v>
      </c>
      <c r="O354" t="s">
        <v>21</v>
      </c>
      <c r="P354" t="s">
        <v>805</v>
      </c>
    </row>
    <row r="355" spans="1:16" x14ac:dyDescent="0.3">
      <c r="A355" t="s">
        <v>806</v>
      </c>
      <c r="C355" t="s">
        <v>17</v>
      </c>
      <c r="D355" t="s">
        <v>18</v>
      </c>
      <c r="E355" t="s">
        <v>19</v>
      </c>
      <c r="G355" t="s">
        <v>20</v>
      </c>
      <c r="H355">
        <v>15020</v>
      </c>
      <c r="I355">
        <v>0</v>
      </c>
      <c r="J355">
        <v>15020</v>
      </c>
      <c r="O355" t="s">
        <v>21</v>
      </c>
      <c r="P355" t="s">
        <v>807</v>
      </c>
    </row>
    <row r="356" spans="1:16" x14ac:dyDescent="0.3">
      <c r="A356" t="s">
        <v>808</v>
      </c>
      <c r="C356" t="s">
        <v>17</v>
      </c>
      <c r="D356" t="s">
        <v>18</v>
      </c>
      <c r="E356" t="s">
        <v>19</v>
      </c>
      <c r="G356" t="s">
        <v>20</v>
      </c>
      <c r="H356">
        <v>15020</v>
      </c>
      <c r="I356">
        <v>0</v>
      </c>
      <c r="J356">
        <v>15020</v>
      </c>
      <c r="O356" t="s">
        <v>21</v>
      </c>
      <c r="P356" t="s">
        <v>809</v>
      </c>
    </row>
    <row r="357" spans="1:16" x14ac:dyDescent="0.3">
      <c r="A357" t="s">
        <v>810</v>
      </c>
      <c r="C357" t="s">
        <v>17</v>
      </c>
      <c r="D357" t="s">
        <v>404</v>
      </c>
      <c r="E357" t="s">
        <v>19</v>
      </c>
      <c r="F357" t="s">
        <v>811</v>
      </c>
      <c r="G357" t="s">
        <v>20</v>
      </c>
      <c r="H357">
        <v>15018</v>
      </c>
      <c r="I357">
        <v>0</v>
      </c>
      <c r="J357">
        <v>0</v>
      </c>
      <c r="O357" t="s">
        <v>21</v>
      </c>
      <c r="P357" t="s">
        <v>812</v>
      </c>
    </row>
    <row r="358" spans="1:16" x14ac:dyDescent="0.3">
      <c r="A358" t="s">
        <v>813</v>
      </c>
      <c r="C358" t="s">
        <v>17</v>
      </c>
      <c r="D358" t="s">
        <v>408</v>
      </c>
      <c r="E358" t="s">
        <v>409</v>
      </c>
      <c r="G358" t="s">
        <v>20</v>
      </c>
      <c r="H358">
        <v>15100</v>
      </c>
      <c r="I358">
        <v>81.162499999999994</v>
      </c>
      <c r="J358">
        <v>15018.8375</v>
      </c>
      <c r="O358" t="s">
        <v>21</v>
      </c>
      <c r="P358" t="s">
        <v>814</v>
      </c>
    </row>
    <row r="359" spans="1:16" x14ac:dyDescent="0.3">
      <c r="A359" t="s">
        <v>815</v>
      </c>
      <c r="C359" t="s">
        <v>17</v>
      </c>
      <c r="D359" t="s">
        <v>18</v>
      </c>
      <c r="E359" t="s">
        <v>19</v>
      </c>
      <c r="G359" t="s">
        <v>20</v>
      </c>
      <c r="H359">
        <v>15021.5</v>
      </c>
      <c r="I359">
        <v>0</v>
      </c>
      <c r="J359">
        <v>15021.5</v>
      </c>
      <c r="O359" t="s">
        <v>21</v>
      </c>
      <c r="P359" t="s">
        <v>816</v>
      </c>
    </row>
    <row r="360" spans="1:16" x14ac:dyDescent="0.3">
      <c r="A360" t="s">
        <v>817</v>
      </c>
      <c r="C360" t="s">
        <v>17</v>
      </c>
      <c r="D360" t="s">
        <v>18</v>
      </c>
      <c r="E360" t="s">
        <v>19</v>
      </c>
      <c r="G360" t="s">
        <v>20</v>
      </c>
      <c r="H360">
        <v>14950</v>
      </c>
      <c r="I360">
        <v>0</v>
      </c>
      <c r="J360">
        <v>14950</v>
      </c>
      <c r="O360" t="s">
        <v>21</v>
      </c>
      <c r="P360" t="s">
        <v>818</v>
      </c>
    </row>
    <row r="361" spans="1:16" x14ac:dyDescent="0.3">
      <c r="A361" t="s">
        <v>819</v>
      </c>
      <c r="C361" t="s">
        <v>17</v>
      </c>
      <c r="D361" t="s">
        <v>18</v>
      </c>
      <c r="E361" t="s">
        <v>19</v>
      </c>
      <c r="G361" t="s">
        <v>20</v>
      </c>
      <c r="H361">
        <v>14950</v>
      </c>
      <c r="I361">
        <v>0</v>
      </c>
      <c r="J361">
        <v>14950</v>
      </c>
      <c r="O361" t="s">
        <v>21</v>
      </c>
      <c r="P361" t="s">
        <v>820</v>
      </c>
    </row>
    <row r="362" spans="1:16" x14ac:dyDescent="0.3">
      <c r="A362" t="s">
        <v>821</v>
      </c>
      <c r="C362" t="s">
        <v>17</v>
      </c>
      <c r="D362" t="s">
        <v>404</v>
      </c>
      <c r="E362" t="s">
        <v>19</v>
      </c>
      <c r="F362" t="s">
        <v>822</v>
      </c>
      <c r="G362" t="s">
        <v>20</v>
      </c>
      <c r="H362">
        <v>14919</v>
      </c>
      <c r="I362">
        <v>0</v>
      </c>
      <c r="J362">
        <v>0</v>
      </c>
      <c r="O362" t="s">
        <v>21</v>
      </c>
      <c r="P362" t="s">
        <v>823</v>
      </c>
    </row>
    <row r="363" spans="1:16" x14ac:dyDescent="0.3">
      <c r="A363" t="s">
        <v>824</v>
      </c>
      <c r="C363" t="s">
        <v>17</v>
      </c>
      <c r="D363" t="s">
        <v>408</v>
      </c>
      <c r="E363" t="s">
        <v>409</v>
      </c>
      <c r="G363" t="s">
        <v>20</v>
      </c>
      <c r="H363">
        <v>15000</v>
      </c>
      <c r="I363">
        <v>80.625</v>
      </c>
      <c r="J363">
        <v>14919.375</v>
      </c>
      <c r="O363" t="s">
        <v>21</v>
      </c>
      <c r="P363" t="s">
        <v>825</v>
      </c>
    </row>
    <row r="364" spans="1:16" x14ac:dyDescent="0.3">
      <c r="A364" t="s">
        <v>826</v>
      </c>
      <c r="C364" t="s">
        <v>17</v>
      </c>
      <c r="D364" t="s">
        <v>18</v>
      </c>
      <c r="E364" t="s">
        <v>19</v>
      </c>
      <c r="G364" t="s">
        <v>20</v>
      </c>
      <c r="H364">
        <v>10021.5</v>
      </c>
      <c r="I364">
        <v>0</v>
      </c>
      <c r="J364">
        <v>10021.5</v>
      </c>
      <c r="O364" t="s">
        <v>21</v>
      </c>
      <c r="P364" t="s">
        <v>827</v>
      </c>
    </row>
    <row r="365" spans="1:16" x14ac:dyDescent="0.3">
      <c r="A365" t="s">
        <v>828</v>
      </c>
      <c r="C365" t="s">
        <v>17</v>
      </c>
      <c r="D365" t="s">
        <v>18</v>
      </c>
      <c r="E365" t="s">
        <v>19</v>
      </c>
      <c r="G365" t="s">
        <v>20</v>
      </c>
      <c r="H365">
        <v>10150</v>
      </c>
      <c r="I365">
        <v>0</v>
      </c>
      <c r="J365">
        <v>10150</v>
      </c>
      <c r="O365" t="s">
        <v>21</v>
      </c>
      <c r="P365" t="s">
        <v>829</v>
      </c>
    </row>
    <row r="366" spans="1:16" x14ac:dyDescent="0.3">
      <c r="A366" t="s">
        <v>830</v>
      </c>
      <c r="C366" t="s">
        <v>17</v>
      </c>
      <c r="D366" t="s">
        <v>18</v>
      </c>
      <c r="E366" t="s">
        <v>19</v>
      </c>
      <c r="G366" t="s">
        <v>20</v>
      </c>
      <c r="H366">
        <v>10150</v>
      </c>
      <c r="I366">
        <v>0</v>
      </c>
      <c r="J366">
        <v>10150</v>
      </c>
      <c r="O366" t="s">
        <v>21</v>
      </c>
      <c r="P366" t="s">
        <v>831</v>
      </c>
    </row>
    <row r="367" spans="1:16" x14ac:dyDescent="0.3">
      <c r="A367" t="s">
        <v>832</v>
      </c>
      <c r="C367" t="s">
        <v>17</v>
      </c>
      <c r="D367" t="s">
        <v>404</v>
      </c>
      <c r="E367" t="s">
        <v>19</v>
      </c>
      <c r="F367" t="s">
        <v>833</v>
      </c>
      <c r="G367" t="s">
        <v>20</v>
      </c>
      <c r="H367">
        <v>10045</v>
      </c>
      <c r="I367">
        <v>0</v>
      </c>
      <c r="J367">
        <v>0</v>
      </c>
      <c r="O367" t="s">
        <v>21</v>
      </c>
      <c r="P367" t="s">
        <v>834</v>
      </c>
    </row>
    <row r="368" spans="1:16" x14ac:dyDescent="0.3">
      <c r="A368" t="e">
        <f>-ymQSGCZtnkVCI3AINW4H</f>
        <v>#NAME?</v>
      </c>
      <c r="C368" t="s">
        <v>17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835</v>
      </c>
    </row>
    <row r="369" spans="1:16" x14ac:dyDescent="0.3">
      <c r="A369" t="s">
        <v>836</v>
      </c>
      <c r="C369" t="s">
        <v>17</v>
      </c>
      <c r="D369" t="s">
        <v>29</v>
      </c>
      <c r="E369" t="s">
        <v>409</v>
      </c>
      <c r="G369" t="s">
        <v>20</v>
      </c>
      <c r="H369">
        <v>5000</v>
      </c>
      <c r="I369">
        <v>26.874999999999901</v>
      </c>
      <c r="J369">
        <v>4973.125</v>
      </c>
      <c r="O369" t="s">
        <v>21</v>
      </c>
      <c r="P369" t="s">
        <v>837</v>
      </c>
    </row>
    <row r="370" spans="1:16" x14ac:dyDescent="0.3">
      <c r="A370" t="s">
        <v>838</v>
      </c>
      <c r="C370" t="s">
        <v>17</v>
      </c>
      <c r="D370" t="s">
        <v>18</v>
      </c>
      <c r="E370" t="s">
        <v>19</v>
      </c>
      <c r="G370" t="s">
        <v>20</v>
      </c>
      <c r="H370">
        <v>10021.5</v>
      </c>
      <c r="I370">
        <v>0</v>
      </c>
      <c r="J370">
        <v>10021.5</v>
      </c>
      <c r="O370" t="s">
        <v>21</v>
      </c>
      <c r="P370" t="s">
        <v>839</v>
      </c>
    </row>
    <row r="371" spans="1:16" x14ac:dyDescent="0.3">
      <c r="A371" t="s">
        <v>840</v>
      </c>
      <c r="C371" t="s">
        <v>17</v>
      </c>
      <c r="D371" t="s">
        <v>18</v>
      </c>
      <c r="E371" t="s">
        <v>19</v>
      </c>
      <c r="G371" t="s">
        <v>20</v>
      </c>
      <c r="H371">
        <v>10000</v>
      </c>
      <c r="I371">
        <v>0</v>
      </c>
      <c r="J371">
        <v>10000</v>
      </c>
      <c r="O371" t="s">
        <v>21</v>
      </c>
      <c r="P371" t="s">
        <v>841</v>
      </c>
    </row>
    <row r="372" spans="1:16" x14ac:dyDescent="0.3">
      <c r="A372" t="s">
        <v>842</v>
      </c>
      <c r="C372" t="s">
        <v>17</v>
      </c>
      <c r="D372" t="s">
        <v>18</v>
      </c>
      <c r="E372" t="s">
        <v>19</v>
      </c>
      <c r="G372" t="s">
        <v>20</v>
      </c>
      <c r="H372">
        <v>10000</v>
      </c>
      <c r="I372">
        <v>0</v>
      </c>
      <c r="J372">
        <v>10000</v>
      </c>
      <c r="O372" t="s">
        <v>21</v>
      </c>
      <c r="P372" t="s">
        <v>843</v>
      </c>
    </row>
    <row r="373" spans="1:16" x14ac:dyDescent="0.3">
      <c r="A373" t="s">
        <v>844</v>
      </c>
      <c r="C373" t="s">
        <v>17</v>
      </c>
      <c r="D373" t="s">
        <v>404</v>
      </c>
      <c r="E373" t="s">
        <v>19</v>
      </c>
      <c r="F373" t="s">
        <v>845</v>
      </c>
      <c r="G373" t="s">
        <v>20</v>
      </c>
      <c r="H373">
        <v>10145</v>
      </c>
      <c r="I373">
        <v>0</v>
      </c>
      <c r="J373">
        <v>0</v>
      </c>
      <c r="O373" t="s">
        <v>21</v>
      </c>
      <c r="P373" t="s">
        <v>846</v>
      </c>
    </row>
    <row r="374" spans="1:16" x14ac:dyDescent="0.3">
      <c r="A374" t="s">
        <v>847</v>
      </c>
      <c r="C374" t="s">
        <v>17</v>
      </c>
      <c r="D374" t="s">
        <v>29</v>
      </c>
      <c r="E374" t="s">
        <v>409</v>
      </c>
      <c r="G374" t="s">
        <v>20</v>
      </c>
      <c r="H374">
        <v>5000</v>
      </c>
      <c r="I374">
        <v>26.874999999999901</v>
      </c>
      <c r="J374">
        <v>4973.125</v>
      </c>
      <c r="O374" t="s">
        <v>21</v>
      </c>
      <c r="P374" t="s">
        <v>848</v>
      </c>
    </row>
    <row r="375" spans="1:16" x14ac:dyDescent="0.3">
      <c r="A375" t="s">
        <v>849</v>
      </c>
      <c r="C375" t="s">
        <v>17</v>
      </c>
      <c r="D375" t="s">
        <v>29</v>
      </c>
      <c r="E375" t="s">
        <v>409</v>
      </c>
      <c r="G375" t="s">
        <v>20</v>
      </c>
      <c r="H375">
        <v>5200</v>
      </c>
      <c r="I375">
        <v>27.95</v>
      </c>
      <c r="J375">
        <v>5172.05</v>
      </c>
      <c r="O375" t="s">
        <v>21</v>
      </c>
      <c r="P375" t="s">
        <v>850</v>
      </c>
    </row>
    <row r="376" spans="1:16" x14ac:dyDescent="0.3">
      <c r="A376" t="s">
        <v>851</v>
      </c>
      <c r="C376" t="s">
        <v>17</v>
      </c>
      <c r="D376" t="s">
        <v>18</v>
      </c>
      <c r="E376" t="s">
        <v>19</v>
      </c>
      <c r="G376" t="s">
        <v>20</v>
      </c>
      <c r="H376">
        <v>5021.5</v>
      </c>
      <c r="I376">
        <v>0</v>
      </c>
      <c r="J376">
        <v>5021.5</v>
      </c>
      <c r="O376" t="s">
        <v>21</v>
      </c>
      <c r="P376" t="s">
        <v>852</v>
      </c>
    </row>
    <row r="377" spans="1:16" x14ac:dyDescent="0.3">
      <c r="A377" t="s">
        <v>853</v>
      </c>
      <c r="C377" t="s">
        <v>17</v>
      </c>
      <c r="D377" t="s">
        <v>18</v>
      </c>
      <c r="E377" t="s">
        <v>19</v>
      </c>
      <c r="G377" t="s">
        <v>20</v>
      </c>
      <c r="H377">
        <v>5000</v>
      </c>
      <c r="I377">
        <v>0</v>
      </c>
      <c r="J377">
        <v>5000</v>
      </c>
      <c r="O377" t="s">
        <v>21</v>
      </c>
      <c r="P377" t="s">
        <v>854</v>
      </c>
    </row>
    <row r="378" spans="1:16" x14ac:dyDescent="0.3">
      <c r="A378" t="s">
        <v>855</v>
      </c>
      <c r="C378" t="s">
        <v>17</v>
      </c>
      <c r="D378" t="s">
        <v>18</v>
      </c>
      <c r="E378" t="s">
        <v>19</v>
      </c>
      <c r="G378" t="s">
        <v>20</v>
      </c>
      <c r="H378">
        <v>5000</v>
      </c>
      <c r="I378">
        <v>0</v>
      </c>
      <c r="J378">
        <v>5000</v>
      </c>
      <c r="O378" t="s">
        <v>21</v>
      </c>
      <c r="P378" t="s">
        <v>856</v>
      </c>
    </row>
    <row r="379" spans="1:16" x14ac:dyDescent="0.3">
      <c r="A379" t="s">
        <v>857</v>
      </c>
      <c r="C379" t="s">
        <v>17</v>
      </c>
      <c r="D379" t="s">
        <v>404</v>
      </c>
      <c r="E379" t="s">
        <v>19</v>
      </c>
      <c r="F379" t="s">
        <v>858</v>
      </c>
      <c r="G379" t="s">
        <v>20</v>
      </c>
      <c r="H379">
        <v>4973</v>
      </c>
      <c r="I379">
        <v>0</v>
      </c>
      <c r="J379">
        <v>0</v>
      </c>
      <c r="O379" t="s">
        <v>21</v>
      </c>
      <c r="P379" t="s">
        <v>859</v>
      </c>
    </row>
    <row r="380" spans="1:16" x14ac:dyDescent="0.3">
      <c r="A380" t="s">
        <v>860</v>
      </c>
      <c r="C380" t="s">
        <v>17</v>
      </c>
      <c r="D380" t="s">
        <v>408</v>
      </c>
      <c r="E380" t="s">
        <v>409</v>
      </c>
      <c r="G380" t="s">
        <v>20</v>
      </c>
      <c r="H380">
        <v>4600</v>
      </c>
      <c r="I380">
        <v>24.725000000000001</v>
      </c>
      <c r="J380">
        <v>4575.2749999999996</v>
      </c>
      <c r="O380" t="s">
        <v>412</v>
      </c>
      <c r="P380" t="s">
        <v>861</v>
      </c>
    </row>
    <row r="381" spans="1:16" x14ac:dyDescent="0.3">
      <c r="A381" t="s">
        <v>862</v>
      </c>
      <c r="C381" t="s">
        <v>17</v>
      </c>
      <c r="D381" t="s">
        <v>408</v>
      </c>
      <c r="E381" t="s">
        <v>409</v>
      </c>
      <c r="G381" t="s">
        <v>20</v>
      </c>
      <c r="H381">
        <v>4600</v>
      </c>
      <c r="I381">
        <v>24.725000000000001</v>
      </c>
      <c r="J381">
        <v>4575.2749999999996</v>
      </c>
      <c r="O381" t="s">
        <v>412</v>
      </c>
      <c r="P381" t="s">
        <v>863</v>
      </c>
    </row>
    <row r="382" spans="1:16" x14ac:dyDescent="0.3">
      <c r="A382" t="s">
        <v>864</v>
      </c>
      <c r="C382" t="s">
        <v>17</v>
      </c>
      <c r="D382" t="s">
        <v>408</v>
      </c>
      <c r="E382" t="s">
        <v>409</v>
      </c>
      <c r="G382" t="s">
        <v>20</v>
      </c>
      <c r="H382">
        <v>4600</v>
      </c>
      <c r="I382">
        <v>24.725000000000001</v>
      </c>
      <c r="J382">
        <v>4575.2749999999996</v>
      </c>
      <c r="O382" t="s">
        <v>412</v>
      </c>
      <c r="P382" t="s">
        <v>865</v>
      </c>
    </row>
    <row r="383" spans="1:16" x14ac:dyDescent="0.3">
      <c r="A383" t="s">
        <v>866</v>
      </c>
      <c r="C383" t="s">
        <v>17</v>
      </c>
      <c r="D383" t="s">
        <v>29</v>
      </c>
      <c r="E383" t="s">
        <v>409</v>
      </c>
      <c r="G383" t="s">
        <v>20</v>
      </c>
      <c r="H383">
        <v>5000</v>
      </c>
      <c r="I383">
        <v>26.874999999999901</v>
      </c>
      <c r="J383">
        <v>4973.125</v>
      </c>
      <c r="O383" t="s">
        <v>21</v>
      </c>
      <c r="P383" t="s">
        <v>867</v>
      </c>
    </row>
    <row r="384" spans="1:16" x14ac:dyDescent="0.3">
      <c r="A384" t="s">
        <v>868</v>
      </c>
      <c r="C384" t="s">
        <v>17</v>
      </c>
      <c r="D384" t="s">
        <v>18</v>
      </c>
      <c r="E384" t="s">
        <v>19</v>
      </c>
      <c r="G384" t="s">
        <v>20</v>
      </c>
      <c r="H384">
        <v>30921.5</v>
      </c>
      <c r="I384">
        <v>0</v>
      </c>
      <c r="J384">
        <v>30921.5</v>
      </c>
      <c r="O384" t="s">
        <v>21</v>
      </c>
      <c r="P384" t="s">
        <v>869</v>
      </c>
    </row>
    <row r="385" spans="1:16" x14ac:dyDescent="0.3">
      <c r="A385" t="s">
        <v>870</v>
      </c>
      <c r="C385" t="s">
        <v>17</v>
      </c>
      <c r="D385" t="s">
        <v>18</v>
      </c>
      <c r="E385" t="s">
        <v>19</v>
      </c>
      <c r="G385" t="s">
        <v>20</v>
      </c>
      <c r="H385">
        <v>30950</v>
      </c>
      <c r="I385">
        <v>0</v>
      </c>
      <c r="J385">
        <v>30950</v>
      </c>
      <c r="O385" t="s">
        <v>21</v>
      </c>
      <c r="P385" t="s">
        <v>871</v>
      </c>
    </row>
    <row r="386" spans="1:16" x14ac:dyDescent="0.3">
      <c r="A386" t="s">
        <v>872</v>
      </c>
      <c r="C386" t="s">
        <v>17</v>
      </c>
      <c r="D386" t="s">
        <v>18</v>
      </c>
      <c r="E386" t="s">
        <v>19</v>
      </c>
      <c r="G386" t="s">
        <v>20</v>
      </c>
      <c r="H386">
        <v>30950</v>
      </c>
      <c r="I386">
        <v>0</v>
      </c>
      <c r="J386">
        <v>30950</v>
      </c>
      <c r="O386" t="s">
        <v>21</v>
      </c>
      <c r="P386" t="s">
        <v>873</v>
      </c>
    </row>
    <row r="387" spans="1:16" x14ac:dyDescent="0.3">
      <c r="A387" t="s">
        <v>874</v>
      </c>
      <c r="C387" t="s">
        <v>17</v>
      </c>
      <c r="D387" t="s">
        <v>404</v>
      </c>
      <c r="E387" t="s">
        <v>19</v>
      </c>
      <c r="F387" t="s">
        <v>875</v>
      </c>
      <c r="G387" t="s">
        <v>20</v>
      </c>
      <c r="H387">
        <v>30944</v>
      </c>
      <c r="I387">
        <v>0</v>
      </c>
      <c r="J387">
        <v>0</v>
      </c>
      <c r="O387" t="s">
        <v>21</v>
      </c>
      <c r="P387" t="s">
        <v>876</v>
      </c>
    </row>
    <row r="388" spans="1:16" x14ac:dyDescent="0.3">
      <c r="A388" t="s">
        <v>877</v>
      </c>
      <c r="C388" t="s">
        <v>17</v>
      </c>
      <c r="D388" t="s">
        <v>408</v>
      </c>
      <c r="E388" t="s">
        <v>409</v>
      </c>
      <c r="G388" t="s">
        <v>20</v>
      </c>
      <c r="H388">
        <v>500</v>
      </c>
      <c r="I388">
        <v>2.6875</v>
      </c>
      <c r="J388">
        <v>497.3125</v>
      </c>
      <c r="O388" t="s">
        <v>412</v>
      </c>
      <c r="P388" t="s">
        <v>878</v>
      </c>
    </row>
    <row r="389" spans="1:16" x14ac:dyDescent="0.3">
      <c r="A389" t="s">
        <v>879</v>
      </c>
      <c r="C389" t="s">
        <v>17</v>
      </c>
      <c r="D389" t="s">
        <v>29</v>
      </c>
      <c r="E389" t="s">
        <v>409</v>
      </c>
      <c r="G389" t="s">
        <v>20</v>
      </c>
      <c r="H389">
        <v>22150</v>
      </c>
      <c r="I389">
        <v>107.5</v>
      </c>
      <c r="J389">
        <v>22042.5</v>
      </c>
      <c r="O389" t="s">
        <v>21</v>
      </c>
      <c r="P389" t="s">
        <v>880</v>
      </c>
    </row>
    <row r="390" spans="1:16" x14ac:dyDescent="0.3">
      <c r="A390" t="s">
        <v>881</v>
      </c>
      <c r="C390" t="s">
        <v>17</v>
      </c>
      <c r="D390" t="s">
        <v>29</v>
      </c>
      <c r="E390" t="s">
        <v>409</v>
      </c>
      <c r="G390" t="s">
        <v>20</v>
      </c>
      <c r="H390">
        <v>7200</v>
      </c>
      <c r="I390">
        <v>38.700000000000003</v>
      </c>
      <c r="J390">
        <v>7161.3</v>
      </c>
      <c r="O390" t="s">
        <v>21</v>
      </c>
      <c r="P390" t="s">
        <v>882</v>
      </c>
    </row>
    <row r="391" spans="1:16" x14ac:dyDescent="0.3">
      <c r="A391" t="s">
        <v>883</v>
      </c>
      <c r="C391" t="s">
        <v>17</v>
      </c>
      <c r="D391" t="s">
        <v>29</v>
      </c>
      <c r="E391" t="s">
        <v>409</v>
      </c>
      <c r="G391" t="s">
        <v>20</v>
      </c>
      <c r="H391">
        <v>1750</v>
      </c>
      <c r="I391">
        <v>9.40625</v>
      </c>
      <c r="J391">
        <v>1740.59375</v>
      </c>
      <c r="O391" t="s">
        <v>21</v>
      </c>
      <c r="P391" t="s">
        <v>884</v>
      </c>
    </row>
    <row r="392" spans="1:16" x14ac:dyDescent="0.3">
      <c r="A392" t="s">
        <v>885</v>
      </c>
      <c r="C392" t="s">
        <v>17</v>
      </c>
      <c r="D392" t="s">
        <v>18</v>
      </c>
      <c r="E392" t="s">
        <v>19</v>
      </c>
      <c r="G392" t="s">
        <v>20</v>
      </c>
      <c r="H392">
        <v>5021.5</v>
      </c>
      <c r="I392">
        <v>0</v>
      </c>
      <c r="J392">
        <v>5021.5</v>
      </c>
      <c r="O392" t="s">
        <v>21</v>
      </c>
      <c r="P392" t="s">
        <v>886</v>
      </c>
    </row>
    <row r="393" spans="1:16" x14ac:dyDescent="0.3">
      <c r="A393" t="s">
        <v>887</v>
      </c>
      <c r="C393" t="s">
        <v>17</v>
      </c>
      <c r="D393" t="s">
        <v>18</v>
      </c>
      <c r="E393" t="s">
        <v>19</v>
      </c>
      <c r="G393" t="s">
        <v>20</v>
      </c>
      <c r="H393">
        <v>5050</v>
      </c>
      <c r="I393">
        <v>0</v>
      </c>
      <c r="J393">
        <v>5050</v>
      </c>
      <c r="O393" t="s">
        <v>21</v>
      </c>
      <c r="P393" t="s">
        <v>888</v>
      </c>
    </row>
    <row r="394" spans="1:16" x14ac:dyDescent="0.3">
      <c r="A394" t="s">
        <v>889</v>
      </c>
      <c r="C394" t="s">
        <v>17</v>
      </c>
      <c r="D394" t="s">
        <v>18</v>
      </c>
      <c r="E394" t="s">
        <v>19</v>
      </c>
      <c r="G394" t="s">
        <v>20</v>
      </c>
      <c r="H394">
        <v>5050</v>
      </c>
      <c r="I394">
        <v>0</v>
      </c>
      <c r="J394">
        <v>5050</v>
      </c>
      <c r="O394" t="s">
        <v>21</v>
      </c>
      <c r="P394" t="s">
        <v>890</v>
      </c>
    </row>
    <row r="395" spans="1:16" x14ac:dyDescent="0.3">
      <c r="A395" t="s">
        <v>891</v>
      </c>
      <c r="C395" t="s">
        <v>17</v>
      </c>
      <c r="D395" t="s">
        <v>404</v>
      </c>
      <c r="E395" t="s">
        <v>19</v>
      </c>
      <c r="F395" t="s">
        <v>892</v>
      </c>
      <c r="G395" t="s">
        <v>20</v>
      </c>
      <c r="H395">
        <v>5072</v>
      </c>
      <c r="I395">
        <v>0</v>
      </c>
      <c r="J395">
        <v>0</v>
      </c>
      <c r="O395" t="s">
        <v>21</v>
      </c>
      <c r="P395" t="s">
        <v>893</v>
      </c>
    </row>
    <row r="396" spans="1:16" x14ac:dyDescent="0.3">
      <c r="A396" t="s">
        <v>894</v>
      </c>
      <c r="C396" t="s">
        <v>17</v>
      </c>
      <c r="D396" t="s">
        <v>29</v>
      </c>
      <c r="E396" t="s">
        <v>409</v>
      </c>
      <c r="G396" t="s">
        <v>20</v>
      </c>
      <c r="H396">
        <v>5100</v>
      </c>
      <c r="I396">
        <v>27.412500000000001</v>
      </c>
      <c r="J396">
        <v>5072.5874999999996</v>
      </c>
      <c r="O396" t="s">
        <v>21</v>
      </c>
      <c r="P396" t="s">
        <v>895</v>
      </c>
    </row>
    <row r="397" spans="1:16" x14ac:dyDescent="0.3">
      <c r="A397" t="s">
        <v>896</v>
      </c>
      <c r="C397" t="s">
        <v>17</v>
      </c>
      <c r="D397" t="s">
        <v>18</v>
      </c>
      <c r="E397" t="s">
        <v>19</v>
      </c>
      <c r="G397" t="s">
        <v>20</v>
      </c>
      <c r="H397">
        <v>4021.5</v>
      </c>
      <c r="I397">
        <v>0</v>
      </c>
      <c r="J397">
        <v>4021.5</v>
      </c>
      <c r="O397" t="s">
        <v>21</v>
      </c>
      <c r="P397" t="s">
        <v>897</v>
      </c>
    </row>
    <row r="398" spans="1:16" x14ac:dyDescent="0.3">
      <c r="A398" t="s">
        <v>898</v>
      </c>
      <c r="C398" t="s">
        <v>17</v>
      </c>
      <c r="D398" t="s">
        <v>18</v>
      </c>
      <c r="E398" t="s">
        <v>19</v>
      </c>
      <c r="G398" t="s">
        <v>20</v>
      </c>
      <c r="H398">
        <v>3950</v>
      </c>
      <c r="I398">
        <v>0</v>
      </c>
      <c r="J398">
        <v>3950</v>
      </c>
      <c r="O398" t="s">
        <v>21</v>
      </c>
      <c r="P398" t="s">
        <v>899</v>
      </c>
    </row>
    <row r="399" spans="1:16" x14ac:dyDescent="0.3">
      <c r="A399" t="s">
        <v>900</v>
      </c>
      <c r="C399" t="s">
        <v>17</v>
      </c>
      <c r="D399" t="s">
        <v>18</v>
      </c>
      <c r="E399" t="s">
        <v>19</v>
      </c>
      <c r="G399" t="s">
        <v>20</v>
      </c>
      <c r="H399">
        <v>3950</v>
      </c>
      <c r="I399">
        <v>0</v>
      </c>
      <c r="J399">
        <v>3950</v>
      </c>
      <c r="O399" t="s">
        <v>21</v>
      </c>
      <c r="P399" t="s">
        <v>901</v>
      </c>
    </row>
    <row r="400" spans="1:16" x14ac:dyDescent="0.3">
      <c r="A400" t="s">
        <v>902</v>
      </c>
      <c r="C400" t="s">
        <v>17</v>
      </c>
      <c r="D400" t="s">
        <v>404</v>
      </c>
      <c r="E400" t="s">
        <v>19</v>
      </c>
      <c r="F400" t="s">
        <v>903</v>
      </c>
      <c r="G400" t="s">
        <v>20</v>
      </c>
      <c r="H400">
        <v>3928</v>
      </c>
      <c r="I400">
        <v>0</v>
      </c>
      <c r="J400">
        <v>0</v>
      </c>
      <c r="O400" t="s">
        <v>21</v>
      </c>
      <c r="P400" t="s">
        <v>904</v>
      </c>
    </row>
    <row r="401" spans="1:16" x14ac:dyDescent="0.3">
      <c r="A401" t="s">
        <v>905</v>
      </c>
      <c r="C401" t="s">
        <v>17</v>
      </c>
      <c r="D401" t="s">
        <v>408</v>
      </c>
      <c r="E401" t="s">
        <v>409</v>
      </c>
      <c r="G401" t="s">
        <v>20</v>
      </c>
      <c r="H401">
        <v>500</v>
      </c>
      <c r="I401">
        <v>2.6875</v>
      </c>
      <c r="J401">
        <v>497.3125</v>
      </c>
      <c r="O401" t="s">
        <v>412</v>
      </c>
      <c r="P401" t="s">
        <v>906</v>
      </c>
    </row>
    <row r="402" spans="1:16" x14ac:dyDescent="0.3">
      <c r="A402" t="s">
        <v>907</v>
      </c>
      <c r="C402" t="s">
        <v>17</v>
      </c>
      <c r="D402" t="s">
        <v>408</v>
      </c>
      <c r="E402" t="s">
        <v>409</v>
      </c>
      <c r="G402" t="s">
        <v>20</v>
      </c>
      <c r="H402">
        <v>500</v>
      </c>
      <c r="I402">
        <v>2.6875</v>
      </c>
      <c r="J402">
        <v>497.3125</v>
      </c>
      <c r="O402" t="s">
        <v>412</v>
      </c>
      <c r="P402" t="s">
        <v>908</v>
      </c>
    </row>
    <row r="403" spans="1:16" x14ac:dyDescent="0.3">
      <c r="A403" t="s">
        <v>909</v>
      </c>
      <c r="C403" t="s">
        <v>17</v>
      </c>
      <c r="D403" t="s">
        <v>29</v>
      </c>
      <c r="E403" t="s">
        <v>409</v>
      </c>
      <c r="G403" t="s">
        <v>20</v>
      </c>
      <c r="H403">
        <v>3950</v>
      </c>
      <c r="I403">
        <v>21.231249999999999</v>
      </c>
      <c r="J403">
        <v>3928.7687500000002</v>
      </c>
      <c r="O403" t="s">
        <v>21</v>
      </c>
      <c r="P403" t="s">
        <v>910</v>
      </c>
    </row>
    <row r="404" spans="1:16" x14ac:dyDescent="0.3">
      <c r="A404" t="s">
        <v>911</v>
      </c>
      <c r="C404" t="s">
        <v>17</v>
      </c>
      <c r="D404" t="s">
        <v>408</v>
      </c>
      <c r="E404" t="s">
        <v>409</v>
      </c>
      <c r="G404" t="s">
        <v>20</v>
      </c>
      <c r="H404">
        <v>4000</v>
      </c>
      <c r="I404">
        <v>21.5</v>
      </c>
      <c r="J404">
        <v>3978.5</v>
      </c>
      <c r="O404" t="s">
        <v>412</v>
      </c>
      <c r="P404" t="s">
        <v>912</v>
      </c>
    </row>
    <row r="405" spans="1:16" x14ac:dyDescent="0.3">
      <c r="A405" t="s">
        <v>913</v>
      </c>
      <c r="C405" t="s">
        <v>17</v>
      </c>
      <c r="D405" t="s">
        <v>18</v>
      </c>
      <c r="E405" t="s">
        <v>19</v>
      </c>
      <c r="G405" t="s">
        <v>20</v>
      </c>
      <c r="H405">
        <v>23821.5</v>
      </c>
      <c r="I405">
        <v>0</v>
      </c>
      <c r="J405">
        <v>23821.5</v>
      </c>
      <c r="O405" t="s">
        <v>21</v>
      </c>
      <c r="P405" t="s">
        <v>914</v>
      </c>
    </row>
    <row r="406" spans="1:16" x14ac:dyDescent="0.3">
      <c r="A406" t="s">
        <v>915</v>
      </c>
      <c r="C406" t="s">
        <v>17</v>
      </c>
      <c r="D406" t="s">
        <v>18</v>
      </c>
      <c r="E406" t="s">
        <v>19</v>
      </c>
      <c r="G406" t="s">
        <v>20</v>
      </c>
      <c r="H406">
        <v>23900</v>
      </c>
      <c r="I406">
        <v>0</v>
      </c>
      <c r="J406">
        <v>23900</v>
      </c>
      <c r="O406" t="s">
        <v>21</v>
      </c>
      <c r="P406" t="s">
        <v>916</v>
      </c>
    </row>
    <row r="407" spans="1:16" x14ac:dyDescent="0.3">
      <c r="A407" t="s">
        <v>917</v>
      </c>
      <c r="C407" t="s">
        <v>17</v>
      </c>
      <c r="D407" t="s">
        <v>18</v>
      </c>
      <c r="E407" t="s">
        <v>19</v>
      </c>
      <c r="G407" t="s">
        <v>20</v>
      </c>
      <c r="H407">
        <v>23900</v>
      </c>
      <c r="I407">
        <v>0</v>
      </c>
      <c r="J407">
        <v>23900</v>
      </c>
      <c r="O407" t="s">
        <v>21</v>
      </c>
      <c r="P407" t="s">
        <v>918</v>
      </c>
    </row>
    <row r="408" spans="1:16" x14ac:dyDescent="0.3">
      <c r="A408" t="s">
        <v>919</v>
      </c>
      <c r="C408" t="s">
        <v>17</v>
      </c>
      <c r="D408" t="s">
        <v>404</v>
      </c>
      <c r="E408" t="s">
        <v>19</v>
      </c>
      <c r="F408" t="s">
        <v>920</v>
      </c>
      <c r="G408" t="s">
        <v>20</v>
      </c>
      <c r="H408">
        <v>23892</v>
      </c>
      <c r="I408">
        <v>0</v>
      </c>
      <c r="J408">
        <v>0</v>
      </c>
      <c r="O408" t="s">
        <v>21</v>
      </c>
      <c r="P408" t="s">
        <v>921</v>
      </c>
    </row>
    <row r="409" spans="1:16" x14ac:dyDescent="0.3">
      <c r="A409" t="s">
        <v>922</v>
      </c>
      <c r="C409" t="s">
        <v>17</v>
      </c>
      <c r="D409" t="s">
        <v>29</v>
      </c>
      <c r="E409" t="s">
        <v>409</v>
      </c>
      <c r="G409" t="s">
        <v>20</v>
      </c>
      <c r="H409">
        <v>24000</v>
      </c>
      <c r="I409">
        <v>107.5</v>
      </c>
      <c r="J409">
        <v>23892.5</v>
      </c>
      <c r="O409" t="s">
        <v>21</v>
      </c>
      <c r="P409" t="s">
        <v>923</v>
      </c>
    </row>
    <row r="410" spans="1:16" x14ac:dyDescent="0.3">
      <c r="A410" t="s">
        <v>924</v>
      </c>
      <c r="C410" t="s">
        <v>17</v>
      </c>
      <c r="D410" t="s">
        <v>18</v>
      </c>
      <c r="E410" t="s">
        <v>19</v>
      </c>
      <c r="G410" t="s">
        <v>20</v>
      </c>
      <c r="H410">
        <v>15021.5</v>
      </c>
      <c r="I410">
        <v>0</v>
      </c>
      <c r="J410">
        <v>15021.5</v>
      </c>
      <c r="O410" t="s">
        <v>21</v>
      </c>
      <c r="P410" t="s">
        <v>925</v>
      </c>
    </row>
    <row r="411" spans="1:16" x14ac:dyDescent="0.3">
      <c r="A411" t="s">
        <v>926</v>
      </c>
      <c r="C411" t="s">
        <v>17</v>
      </c>
      <c r="D411" t="s">
        <v>18</v>
      </c>
      <c r="E411" t="s">
        <v>19</v>
      </c>
      <c r="G411" t="s">
        <v>20</v>
      </c>
      <c r="H411">
        <v>15000</v>
      </c>
      <c r="I411">
        <v>0</v>
      </c>
      <c r="J411">
        <v>15000</v>
      </c>
      <c r="O411" t="s">
        <v>21</v>
      </c>
      <c r="P411" t="s">
        <v>927</v>
      </c>
    </row>
    <row r="412" spans="1:16" x14ac:dyDescent="0.3">
      <c r="A412" t="s">
        <v>928</v>
      </c>
      <c r="C412" t="s">
        <v>17</v>
      </c>
      <c r="D412" t="s">
        <v>18</v>
      </c>
      <c r="E412" t="s">
        <v>19</v>
      </c>
      <c r="G412" t="s">
        <v>20</v>
      </c>
      <c r="H412">
        <v>15000</v>
      </c>
      <c r="I412">
        <v>0</v>
      </c>
      <c r="J412">
        <v>15000</v>
      </c>
      <c r="O412" t="s">
        <v>21</v>
      </c>
      <c r="P412" t="s">
        <v>929</v>
      </c>
    </row>
    <row r="413" spans="1:16" x14ac:dyDescent="0.3">
      <c r="A413" t="s">
        <v>930</v>
      </c>
      <c r="C413" t="s">
        <v>17</v>
      </c>
      <c r="D413" t="s">
        <v>404</v>
      </c>
      <c r="E413" t="s">
        <v>19</v>
      </c>
      <c r="F413" t="s">
        <v>931</v>
      </c>
      <c r="G413" t="s">
        <v>20</v>
      </c>
      <c r="H413">
        <v>15018</v>
      </c>
      <c r="I413">
        <v>0</v>
      </c>
      <c r="J413">
        <v>0</v>
      </c>
      <c r="O413" t="s">
        <v>21</v>
      </c>
      <c r="P413" t="s">
        <v>932</v>
      </c>
    </row>
    <row r="414" spans="1:16" x14ac:dyDescent="0.3">
      <c r="A414" t="s">
        <v>933</v>
      </c>
      <c r="C414" t="s">
        <v>17</v>
      </c>
      <c r="D414" t="s">
        <v>29</v>
      </c>
      <c r="E414" t="s">
        <v>409</v>
      </c>
      <c r="G414" t="s">
        <v>20</v>
      </c>
      <c r="H414">
        <v>15100</v>
      </c>
      <c r="I414">
        <v>81.162499999999994</v>
      </c>
      <c r="J414">
        <v>15018.8375</v>
      </c>
      <c r="O414" t="s">
        <v>21</v>
      </c>
      <c r="P414" t="s">
        <v>934</v>
      </c>
    </row>
    <row r="415" spans="1:16" x14ac:dyDescent="0.3">
      <c r="A415" t="s">
        <v>935</v>
      </c>
      <c r="C415" t="s">
        <v>17</v>
      </c>
      <c r="D415" t="s">
        <v>18</v>
      </c>
      <c r="E415" t="s">
        <v>19</v>
      </c>
      <c r="G415" t="s">
        <v>20</v>
      </c>
      <c r="H415">
        <v>1421.5</v>
      </c>
      <c r="I415">
        <v>0</v>
      </c>
      <c r="J415">
        <v>1421.5</v>
      </c>
      <c r="O415" t="s">
        <v>21</v>
      </c>
      <c r="P415" t="s">
        <v>936</v>
      </c>
    </row>
    <row r="416" spans="1:16" x14ac:dyDescent="0.3">
      <c r="A416" t="s">
        <v>937</v>
      </c>
      <c r="C416" t="s">
        <v>17</v>
      </c>
      <c r="D416" t="s">
        <v>18</v>
      </c>
      <c r="E416" t="s">
        <v>19</v>
      </c>
      <c r="G416" t="s">
        <v>20</v>
      </c>
      <c r="H416">
        <v>1400</v>
      </c>
      <c r="I416">
        <v>0</v>
      </c>
      <c r="J416">
        <v>1400</v>
      </c>
      <c r="O416" t="s">
        <v>21</v>
      </c>
      <c r="P416" t="s">
        <v>938</v>
      </c>
    </row>
    <row r="417" spans="1:16" x14ac:dyDescent="0.3">
      <c r="A417" t="s">
        <v>939</v>
      </c>
      <c r="C417" t="s">
        <v>17</v>
      </c>
      <c r="D417" t="s">
        <v>18</v>
      </c>
      <c r="E417" t="s">
        <v>19</v>
      </c>
      <c r="G417" t="s">
        <v>20</v>
      </c>
      <c r="H417">
        <v>1400</v>
      </c>
      <c r="I417">
        <v>0</v>
      </c>
      <c r="J417">
        <v>1400</v>
      </c>
      <c r="O417" t="s">
        <v>21</v>
      </c>
      <c r="P417" t="s">
        <v>940</v>
      </c>
    </row>
    <row r="418" spans="1:16" x14ac:dyDescent="0.3">
      <c r="A418" t="s">
        <v>941</v>
      </c>
      <c r="C418" t="s">
        <v>17</v>
      </c>
      <c r="D418" t="s">
        <v>404</v>
      </c>
      <c r="E418" t="s">
        <v>19</v>
      </c>
      <c r="F418" t="s">
        <v>942</v>
      </c>
      <c r="G418" t="s">
        <v>20</v>
      </c>
      <c r="H418">
        <v>1392</v>
      </c>
      <c r="I418">
        <v>0</v>
      </c>
      <c r="J418">
        <v>0</v>
      </c>
      <c r="O418" t="s">
        <v>21</v>
      </c>
      <c r="P418" t="s">
        <v>943</v>
      </c>
    </row>
    <row r="419" spans="1:16" x14ac:dyDescent="0.3">
      <c r="A419" t="s">
        <v>944</v>
      </c>
      <c r="C419" t="s">
        <v>17</v>
      </c>
      <c r="D419" t="s">
        <v>29</v>
      </c>
      <c r="E419" t="s">
        <v>409</v>
      </c>
      <c r="G419" t="s">
        <v>20</v>
      </c>
      <c r="H419">
        <v>1400</v>
      </c>
      <c r="I419">
        <v>7.5250000000000004</v>
      </c>
      <c r="J419">
        <v>1392.4749999999999</v>
      </c>
      <c r="O419" t="s">
        <v>21</v>
      </c>
      <c r="P419" t="s">
        <v>945</v>
      </c>
    </row>
    <row r="420" spans="1:16" x14ac:dyDescent="0.3">
      <c r="A420" t="s">
        <v>946</v>
      </c>
      <c r="C420" t="s">
        <v>17</v>
      </c>
      <c r="D420" t="s">
        <v>18</v>
      </c>
      <c r="E420" t="s">
        <v>19</v>
      </c>
      <c r="G420" t="s">
        <v>20</v>
      </c>
      <c r="H420">
        <v>9821.5</v>
      </c>
      <c r="I420">
        <v>0</v>
      </c>
      <c r="J420">
        <v>9821.5</v>
      </c>
      <c r="O420" t="s">
        <v>21</v>
      </c>
      <c r="P420" t="s">
        <v>947</v>
      </c>
    </row>
    <row r="421" spans="1:16" x14ac:dyDescent="0.3">
      <c r="A421" t="s">
        <v>948</v>
      </c>
      <c r="C421" t="s">
        <v>17</v>
      </c>
      <c r="D421" t="s">
        <v>18</v>
      </c>
      <c r="E421" t="s">
        <v>19</v>
      </c>
      <c r="G421" t="s">
        <v>20</v>
      </c>
      <c r="H421">
        <v>9850</v>
      </c>
      <c r="I421">
        <v>0</v>
      </c>
      <c r="J421">
        <v>9850</v>
      </c>
      <c r="O421" t="s">
        <v>21</v>
      </c>
      <c r="P421" t="s">
        <v>949</v>
      </c>
    </row>
    <row r="422" spans="1:16" x14ac:dyDescent="0.3">
      <c r="A422" t="s">
        <v>950</v>
      </c>
      <c r="C422" t="s">
        <v>17</v>
      </c>
      <c r="D422" t="s">
        <v>18</v>
      </c>
      <c r="E422" t="s">
        <v>19</v>
      </c>
      <c r="G422" t="s">
        <v>20</v>
      </c>
      <c r="H422">
        <v>9850</v>
      </c>
      <c r="I422">
        <v>0</v>
      </c>
      <c r="J422">
        <v>9850</v>
      </c>
      <c r="O422" t="s">
        <v>21</v>
      </c>
      <c r="P422" t="s">
        <v>951</v>
      </c>
    </row>
    <row r="423" spans="1:16" x14ac:dyDescent="0.3">
      <c r="A423" t="s">
        <v>952</v>
      </c>
      <c r="C423" t="s">
        <v>17</v>
      </c>
      <c r="D423" t="s">
        <v>404</v>
      </c>
      <c r="E423" t="s">
        <v>19</v>
      </c>
      <c r="F423" t="s">
        <v>953</v>
      </c>
      <c r="G423" t="s">
        <v>20</v>
      </c>
      <c r="H423">
        <v>9797</v>
      </c>
      <c r="I423">
        <v>0</v>
      </c>
      <c r="J423">
        <v>0</v>
      </c>
      <c r="O423" t="s">
        <v>21</v>
      </c>
      <c r="P423" t="s">
        <v>954</v>
      </c>
    </row>
    <row r="424" spans="1:16" x14ac:dyDescent="0.3">
      <c r="A424" t="s">
        <v>955</v>
      </c>
      <c r="C424" t="s">
        <v>17</v>
      </c>
      <c r="D424" t="s">
        <v>29</v>
      </c>
      <c r="E424" t="s">
        <v>409</v>
      </c>
      <c r="G424" t="s">
        <v>20</v>
      </c>
      <c r="H424">
        <v>1500</v>
      </c>
      <c r="I424">
        <v>8.0624999999999893</v>
      </c>
      <c r="J424">
        <v>1491.9375</v>
      </c>
      <c r="O424" t="s">
        <v>21</v>
      </c>
      <c r="P424" t="s">
        <v>956</v>
      </c>
    </row>
    <row r="425" spans="1:16" x14ac:dyDescent="0.3">
      <c r="A425" t="s">
        <v>957</v>
      </c>
      <c r="C425" t="s">
        <v>17</v>
      </c>
      <c r="D425" t="s">
        <v>29</v>
      </c>
      <c r="E425" t="s">
        <v>409</v>
      </c>
      <c r="G425" t="s">
        <v>20</v>
      </c>
      <c r="H425">
        <v>7500</v>
      </c>
      <c r="I425">
        <v>40.3125</v>
      </c>
      <c r="J425">
        <v>7459.6875</v>
      </c>
      <c r="O425" t="s">
        <v>21</v>
      </c>
      <c r="P425" t="s">
        <v>958</v>
      </c>
    </row>
    <row r="426" spans="1:16" x14ac:dyDescent="0.3">
      <c r="A426" t="s">
        <v>959</v>
      </c>
      <c r="C426" t="s">
        <v>17</v>
      </c>
      <c r="D426" t="s">
        <v>29</v>
      </c>
      <c r="E426" t="s">
        <v>409</v>
      </c>
      <c r="G426" t="s">
        <v>20</v>
      </c>
      <c r="H426">
        <v>850</v>
      </c>
      <c r="I426">
        <v>4.5687499999999996</v>
      </c>
      <c r="J426">
        <v>845.43124999999998</v>
      </c>
      <c r="O426" t="s">
        <v>21</v>
      </c>
      <c r="P426" t="s">
        <v>960</v>
      </c>
    </row>
    <row r="427" spans="1:16" x14ac:dyDescent="0.3">
      <c r="A427" t="s">
        <v>961</v>
      </c>
      <c r="C427" t="s">
        <v>17</v>
      </c>
      <c r="D427" t="s">
        <v>18</v>
      </c>
      <c r="E427" t="s">
        <v>19</v>
      </c>
      <c r="G427" t="s">
        <v>20</v>
      </c>
      <c r="H427">
        <v>10721.5</v>
      </c>
      <c r="I427">
        <v>0</v>
      </c>
      <c r="J427">
        <v>10721.5</v>
      </c>
      <c r="O427" t="s">
        <v>21</v>
      </c>
      <c r="P427" t="s">
        <v>962</v>
      </c>
    </row>
    <row r="428" spans="1:16" x14ac:dyDescent="0.3">
      <c r="A428" t="s">
        <v>963</v>
      </c>
      <c r="C428" t="s">
        <v>17</v>
      </c>
      <c r="D428" t="s">
        <v>18</v>
      </c>
      <c r="E428" t="s">
        <v>19</v>
      </c>
      <c r="G428" t="s">
        <v>20</v>
      </c>
      <c r="H428">
        <v>10700</v>
      </c>
      <c r="I428">
        <v>0</v>
      </c>
      <c r="J428">
        <v>10700</v>
      </c>
      <c r="O428" t="s">
        <v>21</v>
      </c>
      <c r="P428" t="s">
        <v>964</v>
      </c>
    </row>
    <row r="429" spans="1:16" x14ac:dyDescent="0.3">
      <c r="A429" t="s">
        <v>965</v>
      </c>
      <c r="C429" t="s">
        <v>17</v>
      </c>
      <c r="D429" t="s">
        <v>18</v>
      </c>
      <c r="E429" t="s">
        <v>19</v>
      </c>
      <c r="G429" t="s">
        <v>20</v>
      </c>
      <c r="H429">
        <v>10700</v>
      </c>
      <c r="I429">
        <v>0</v>
      </c>
      <c r="J429">
        <v>10700</v>
      </c>
      <c r="O429" t="s">
        <v>21</v>
      </c>
      <c r="P429" t="s">
        <v>966</v>
      </c>
    </row>
    <row r="430" spans="1:16" x14ac:dyDescent="0.3">
      <c r="A430" t="s">
        <v>967</v>
      </c>
      <c r="C430" t="s">
        <v>17</v>
      </c>
      <c r="D430" t="s">
        <v>404</v>
      </c>
      <c r="E430" t="s">
        <v>19</v>
      </c>
      <c r="F430" t="s">
        <v>968</v>
      </c>
      <c r="G430" t="s">
        <v>20</v>
      </c>
      <c r="H430">
        <v>10791</v>
      </c>
      <c r="I430">
        <v>0</v>
      </c>
      <c r="J430">
        <v>0</v>
      </c>
      <c r="O430" t="s">
        <v>21</v>
      </c>
      <c r="P430" t="s">
        <v>969</v>
      </c>
    </row>
    <row r="431" spans="1:16" x14ac:dyDescent="0.3">
      <c r="A431" t="s">
        <v>970</v>
      </c>
      <c r="C431" t="s">
        <v>17</v>
      </c>
      <c r="D431" t="s">
        <v>29</v>
      </c>
      <c r="E431" t="s">
        <v>409</v>
      </c>
      <c r="G431" t="s">
        <v>20</v>
      </c>
      <c r="H431">
        <v>10300</v>
      </c>
      <c r="I431">
        <v>55.362499999999997</v>
      </c>
      <c r="J431">
        <v>10244.637500000001</v>
      </c>
      <c r="O431" t="s">
        <v>21</v>
      </c>
      <c r="P431" t="s">
        <v>971</v>
      </c>
    </row>
    <row r="432" spans="1:16" x14ac:dyDescent="0.3">
      <c r="A432" t="s">
        <v>972</v>
      </c>
      <c r="C432" t="s">
        <v>17</v>
      </c>
      <c r="D432" t="s">
        <v>29</v>
      </c>
      <c r="E432" t="s">
        <v>409</v>
      </c>
      <c r="G432" t="s">
        <v>20</v>
      </c>
      <c r="H432">
        <v>550</v>
      </c>
      <c r="I432">
        <v>2.9562499999999998</v>
      </c>
      <c r="J432">
        <v>547.04375000000005</v>
      </c>
      <c r="O432" t="s">
        <v>21</v>
      </c>
      <c r="P432" t="s">
        <v>973</v>
      </c>
    </row>
    <row r="433" spans="1:16" x14ac:dyDescent="0.3">
      <c r="A433" t="s">
        <v>974</v>
      </c>
      <c r="C433" t="s">
        <v>17</v>
      </c>
      <c r="D433" t="s">
        <v>18</v>
      </c>
      <c r="E433" t="s">
        <v>19</v>
      </c>
      <c r="G433" t="s">
        <v>20</v>
      </c>
      <c r="H433">
        <v>5021.5</v>
      </c>
      <c r="I433">
        <v>0</v>
      </c>
      <c r="J433">
        <v>5021.5</v>
      </c>
      <c r="O433" t="s">
        <v>21</v>
      </c>
      <c r="P433" t="s">
        <v>975</v>
      </c>
    </row>
    <row r="434" spans="1:16" x14ac:dyDescent="0.3">
      <c r="A434" t="s">
        <v>976</v>
      </c>
      <c r="C434" t="s">
        <v>17</v>
      </c>
      <c r="D434" t="s">
        <v>18</v>
      </c>
      <c r="E434" t="s">
        <v>19</v>
      </c>
      <c r="G434" t="s">
        <v>20</v>
      </c>
      <c r="H434">
        <v>4980</v>
      </c>
      <c r="I434">
        <v>0</v>
      </c>
      <c r="J434">
        <v>4980</v>
      </c>
      <c r="O434" t="s">
        <v>21</v>
      </c>
      <c r="P434" t="s">
        <v>977</v>
      </c>
    </row>
    <row r="435" spans="1:16" x14ac:dyDescent="0.3">
      <c r="A435" t="s">
        <v>978</v>
      </c>
      <c r="C435" t="s">
        <v>17</v>
      </c>
      <c r="D435" t="s">
        <v>18</v>
      </c>
      <c r="E435" t="s">
        <v>19</v>
      </c>
      <c r="G435" t="s">
        <v>20</v>
      </c>
      <c r="H435">
        <v>4980</v>
      </c>
      <c r="I435">
        <v>0</v>
      </c>
      <c r="J435">
        <v>4980</v>
      </c>
      <c r="O435" t="s">
        <v>21</v>
      </c>
      <c r="P435" t="s">
        <v>979</v>
      </c>
    </row>
    <row r="436" spans="1:16" x14ac:dyDescent="0.3">
      <c r="A436" t="s">
        <v>980</v>
      </c>
      <c r="C436" t="s">
        <v>17</v>
      </c>
      <c r="D436" t="s">
        <v>404</v>
      </c>
      <c r="E436" t="s">
        <v>19</v>
      </c>
      <c r="F436" t="s">
        <v>981</v>
      </c>
      <c r="G436" t="s">
        <v>20</v>
      </c>
      <c r="H436">
        <v>4973</v>
      </c>
      <c r="I436">
        <v>0</v>
      </c>
      <c r="J436">
        <v>0</v>
      </c>
      <c r="O436" t="s">
        <v>21</v>
      </c>
      <c r="P436" t="s">
        <v>982</v>
      </c>
    </row>
    <row r="437" spans="1:16" x14ac:dyDescent="0.3">
      <c r="A437" t="s">
        <v>983</v>
      </c>
      <c r="C437" t="s">
        <v>17</v>
      </c>
      <c r="D437" t="s">
        <v>29</v>
      </c>
      <c r="E437" t="s">
        <v>409</v>
      </c>
      <c r="G437" t="s">
        <v>20</v>
      </c>
      <c r="H437">
        <v>5000</v>
      </c>
      <c r="I437">
        <v>26.874999999999901</v>
      </c>
      <c r="J437">
        <v>4973.125</v>
      </c>
      <c r="O437" t="s">
        <v>21</v>
      </c>
      <c r="P437" t="s">
        <v>984</v>
      </c>
    </row>
    <row r="438" spans="1:16" x14ac:dyDescent="0.3">
      <c r="A438" t="s">
        <v>985</v>
      </c>
      <c r="C438" t="s">
        <v>17</v>
      </c>
      <c r="D438" t="s">
        <v>18</v>
      </c>
      <c r="E438" t="s">
        <v>19</v>
      </c>
      <c r="G438" t="s">
        <v>20</v>
      </c>
      <c r="H438">
        <v>1021.5</v>
      </c>
      <c r="I438">
        <v>0</v>
      </c>
      <c r="J438">
        <v>1021.5</v>
      </c>
      <c r="O438" t="s">
        <v>21</v>
      </c>
      <c r="P438" t="s">
        <v>986</v>
      </c>
    </row>
    <row r="439" spans="1:16" x14ac:dyDescent="0.3">
      <c r="A439" t="s">
        <v>987</v>
      </c>
      <c r="C439" t="s">
        <v>17</v>
      </c>
      <c r="D439" t="s">
        <v>18</v>
      </c>
      <c r="E439" t="s">
        <v>19</v>
      </c>
      <c r="G439" t="s">
        <v>20</v>
      </c>
      <c r="H439">
        <v>1100</v>
      </c>
      <c r="I439">
        <v>0</v>
      </c>
      <c r="J439">
        <v>1100</v>
      </c>
      <c r="O439" t="s">
        <v>21</v>
      </c>
      <c r="P439" t="s">
        <v>988</v>
      </c>
    </row>
    <row r="440" spans="1:16" x14ac:dyDescent="0.3">
      <c r="A440" t="s">
        <v>989</v>
      </c>
      <c r="C440" t="s">
        <v>17</v>
      </c>
      <c r="D440" t="s">
        <v>18</v>
      </c>
      <c r="E440" t="s">
        <v>19</v>
      </c>
      <c r="G440" t="s">
        <v>20</v>
      </c>
      <c r="H440">
        <v>1100</v>
      </c>
      <c r="I440">
        <v>0</v>
      </c>
      <c r="J440">
        <v>1100</v>
      </c>
      <c r="O440" t="s">
        <v>21</v>
      </c>
      <c r="P440" t="s">
        <v>990</v>
      </c>
    </row>
    <row r="441" spans="1:16" x14ac:dyDescent="0.3">
      <c r="A441" t="s">
        <v>991</v>
      </c>
      <c r="C441" t="s">
        <v>17</v>
      </c>
      <c r="D441" t="s">
        <v>404</v>
      </c>
      <c r="E441" t="s">
        <v>19</v>
      </c>
      <c r="F441" t="s">
        <v>992</v>
      </c>
      <c r="G441" t="s">
        <v>20</v>
      </c>
      <c r="H441">
        <v>1094</v>
      </c>
      <c r="I441">
        <v>0</v>
      </c>
      <c r="J441">
        <v>0</v>
      </c>
      <c r="O441" t="s">
        <v>21</v>
      </c>
      <c r="P441" t="s">
        <v>993</v>
      </c>
    </row>
    <row r="442" spans="1:16" x14ac:dyDescent="0.3">
      <c r="A442" t="s">
        <v>994</v>
      </c>
      <c r="C442" t="s">
        <v>17</v>
      </c>
      <c r="D442" t="s">
        <v>29</v>
      </c>
      <c r="E442" t="s">
        <v>409</v>
      </c>
      <c r="G442" t="s">
        <v>20</v>
      </c>
      <c r="H442">
        <v>1100</v>
      </c>
      <c r="I442">
        <v>5.9124999999999996</v>
      </c>
      <c r="J442">
        <v>1094.0875000000001</v>
      </c>
      <c r="O442" t="s">
        <v>21</v>
      </c>
      <c r="P442" t="s">
        <v>995</v>
      </c>
    </row>
    <row r="443" spans="1:16" x14ac:dyDescent="0.3">
      <c r="A443" t="s">
        <v>996</v>
      </c>
      <c r="C443" t="s">
        <v>17</v>
      </c>
      <c r="D443" t="s">
        <v>18</v>
      </c>
      <c r="E443" t="s">
        <v>19</v>
      </c>
      <c r="G443" t="s">
        <v>20</v>
      </c>
      <c r="H443">
        <v>1021.5</v>
      </c>
      <c r="I443">
        <v>0</v>
      </c>
      <c r="J443">
        <v>1021.5</v>
      </c>
      <c r="O443" t="s">
        <v>21</v>
      </c>
      <c r="P443" t="s">
        <v>997</v>
      </c>
    </row>
    <row r="444" spans="1:16" x14ac:dyDescent="0.3">
      <c r="A444" t="s">
        <v>998</v>
      </c>
      <c r="C444" t="s">
        <v>17</v>
      </c>
      <c r="D444" t="s">
        <v>18</v>
      </c>
      <c r="E444" t="s">
        <v>19</v>
      </c>
      <c r="G444" t="s">
        <v>20</v>
      </c>
      <c r="H444">
        <v>1000</v>
      </c>
      <c r="I444">
        <v>0</v>
      </c>
      <c r="J444">
        <v>1000</v>
      </c>
      <c r="O444" t="s">
        <v>21</v>
      </c>
      <c r="P444" t="s">
        <v>999</v>
      </c>
    </row>
    <row r="445" spans="1:16" x14ac:dyDescent="0.3">
      <c r="A445" t="s">
        <v>1000</v>
      </c>
      <c r="C445" t="s">
        <v>17</v>
      </c>
      <c r="D445" t="s">
        <v>18</v>
      </c>
      <c r="E445" t="s">
        <v>19</v>
      </c>
      <c r="G445" t="s">
        <v>20</v>
      </c>
      <c r="H445">
        <v>1000</v>
      </c>
      <c r="I445">
        <v>0</v>
      </c>
      <c r="J445">
        <v>1000</v>
      </c>
      <c r="O445" t="s">
        <v>21</v>
      </c>
      <c r="P445" t="s">
        <v>1001</v>
      </c>
    </row>
    <row r="446" spans="1:16" x14ac:dyDescent="0.3">
      <c r="A446" t="s">
        <v>1002</v>
      </c>
      <c r="C446" t="s">
        <v>17</v>
      </c>
      <c r="D446" t="s">
        <v>404</v>
      </c>
      <c r="E446" t="s">
        <v>19</v>
      </c>
      <c r="F446" t="s">
        <v>1003</v>
      </c>
      <c r="G446" t="s">
        <v>20</v>
      </c>
      <c r="H446">
        <v>994</v>
      </c>
      <c r="I446">
        <v>0</v>
      </c>
      <c r="J446">
        <v>0</v>
      </c>
      <c r="O446" t="s">
        <v>21</v>
      </c>
      <c r="P446" t="s">
        <v>1004</v>
      </c>
    </row>
    <row r="447" spans="1:16" x14ac:dyDescent="0.3">
      <c r="A447" t="s">
        <v>1005</v>
      </c>
      <c r="C447" t="s">
        <v>17</v>
      </c>
      <c r="D447" t="s">
        <v>18</v>
      </c>
      <c r="E447" t="s">
        <v>19</v>
      </c>
      <c r="G447" t="s">
        <v>20</v>
      </c>
      <c r="H447">
        <v>4371.5</v>
      </c>
      <c r="I447">
        <v>0</v>
      </c>
      <c r="J447">
        <v>4371.5</v>
      </c>
      <c r="O447" t="s">
        <v>21</v>
      </c>
      <c r="P447" t="s">
        <v>1006</v>
      </c>
    </row>
    <row r="448" spans="1:16" x14ac:dyDescent="0.3">
      <c r="A448" t="s">
        <v>1007</v>
      </c>
      <c r="C448" t="s">
        <v>17</v>
      </c>
      <c r="D448" t="s">
        <v>18</v>
      </c>
      <c r="E448" t="s">
        <v>19</v>
      </c>
      <c r="G448" t="s">
        <v>20</v>
      </c>
      <c r="H448">
        <v>4400</v>
      </c>
      <c r="I448">
        <v>0</v>
      </c>
      <c r="J448">
        <v>4400</v>
      </c>
      <c r="O448" t="s">
        <v>21</v>
      </c>
      <c r="P448" t="s">
        <v>1008</v>
      </c>
    </row>
    <row r="449" spans="1:16" x14ac:dyDescent="0.3">
      <c r="A449" t="s">
        <v>1009</v>
      </c>
      <c r="C449" t="s">
        <v>17</v>
      </c>
      <c r="D449" t="s">
        <v>18</v>
      </c>
      <c r="E449" t="s">
        <v>19</v>
      </c>
      <c r="G449" t="s">
        <v>20</v>
      </c>
      <c r="H449">
        <v>4400</v>
      </c>
      <c r="I449">
        <v>0</v>
      </c>
      <c r="J449">
        <v>4400</v>
      </c>
      <c r="O449" t="s">
        <v>21</v>
      </c>
      <c r="P449" t="s">
        <v>1010</v>
      </c>
    </row>
    <row r="450" spans="1:16" x14ac:dyDescent="0.3">
      <c r="A450" t="s">
        <v>1011</v>
      </c>
      <c r="C450" t="s">
        <v>17</v>
      </c>
      <c r="D450" t="s">
        <v>29</v>
      </c>
      <c r="E450" t="s">
        <v>409</v>
      </c>
      <c r="G450" t="s">
        <v>20</v>
      </c>
      <c r="H450">
        <v>1000</v>
      </c>
      <c r="I450">
        <v>5.375</v>
      </c>
      <c r="J450">
        <v>994.625</v>
      </c>
      <c r="O450" t="s">
        <v>21</v>
      </c>
      <c r="P450" t="s">
        <v>1012</v>
      </c>
    </row>
    <row r="451" spans="1:16" x14ac:dyDescent="0.3">
      <c r="A451" t="s">
        <v>1013</v>
      </c>
      <c r="C451" t="s">
        <v>17</v>
      </c>
      <c r="D451" t="s">
        <v>404</v>
      </c>
      <c r="E451" t="s">
        <v>19</v>
      </c>
      <c r="F451" t="s">
        <v>1014</v>
      </c>
      <c r="G451" t="s">
        <v>20</v>
      </c>
      <c r="H451">
        <v>4376</v>
      </c>
      <c r="I451">
        <v>0</v>
      </c>
      <c r="J451">
        <v>0</v>
      </c>
      <c r="O451" t="s">
        <v>21</v>
      </c>
      <c r="P451" t="s">
        <v>1015</v>
      </c>
    </row>
    <row r="452" spans="1:16" x14ac:dyDescent="0.3">
      <c r="A452" t="s">
        <v>1016</v>
      </c>
      <c r="C452" t="s">
        <v>17</v>
      </c>
      <c r="D452" t="s">
        <v>29</v>
      </c>
      <c r="E452" t="s">
        <v>409</v>
      </c>
      <c r="G452" t="s">
        <v>20</v>
      </c>
      <c r="H452">
        <v>2400</v>
      </c>
      <c r="I452">
        <v>12.899999999999901</v>
      </c>
      <c r="J452">
        <v>2387.1</v>
      </c>
      <c r="O452" t="s">
        <v>21</v>
      </c>
      <c r="P452" t="s">
        <v>1017</v>
      </c>
    </row>
    <row r="453" spans="1:16" x14ac:dyDescent="0.3">
      <c r="A453" t="s">
        <v>1018</v>
      </c>
      <c r="C453" t="s">
        <v>17</v>
      </c>
      <c r="D453" t="s">
        <v>18</v>
      </c>
      <c r="E453" t="s">
        <v>19</v>
      </c>
      <c r="G453" t="s">
        <v>20</v>
      </c>
      <c r="H453">
        <v>4871.5</v>
      </c>
      <c r="I453">
        <v>0</v>
      </c>
      <c r="J453">
        <v>4871.5</v>
      </c>
      <c r="O453" t="s">
        <v>21</v>
      </c>
      <c r="P453" t="s">
        <v>1019</v>
      </c>
    </row>
    <row r="454" spans="1:16" x14ac:dyDescent="0.3">
      <c r="A454" t="s">
        <v>1020</v>
      </c>
      <c r="C454" t="s">
        <v>17</v>
      </c>
      <c r="D454" t="s">
        <v>18</v>
      </c>
      <c r="E454" t="s">
        <v>19</v>
      </c>
      <c r="G454" t="s">
        <v>20</v>
      </c>
      <c r="H454">
        <v>4850</v>
      </c>
      <c r="I454">
        <v>0</v>
      </c>
      <c r="J454">
        <v>4850</v>
      </c>
      <c r="O454" t="s">
        <v>21</v>
      </c>
      <c r="P454" t="s">
        <v>1021</v>
      </c>
    </row>
    <row r="455" spans="1:16" x14ac:dyDescent="0.3">
      <c r="A455" t="s">
        <v>1022</v>
      </c>
      <c r="C455" t="s">
        <v>17</v>
      </c>
      <c r="D455" t="s">
        <v>18</v>
      </c>
      <c r="E455" t="s">
        <v>19</v>
      </c>
      <c r="G455" t="s">
        <v>20</v>
      </c>
      <c r="H455">
        <v>4850</v>
      </c>
      <c r="I455">
        <v>0</v>
      </c>
      <c r="J455">
        <v>4850</v>
      </c>
      <c r="O455" t="s">
        <v>21</v>
      </c>
      <c r="P455" t="s">
        <v>1023</v>
      </c>
    </row>
    <row r="456" spans="1:16" x14ac:dyDescent="0.3">
      <c r="A456" t="s">
        <v>1024</v>
      </c>
      <c r="C456" t="s">
        <v>17</v>
      </c>
      <c r="D456" t="s">
        <v>29</v>
      </c>
      <c r="E456" t="s">
        <v>409</v>
      </c>
      <c r="G456" t="s">
        <v>20</v>
      </c>
      <c r="H456">
        <v>2000</v>
      </c>
      <c r="I456">
        <v>10.75</v>
      </c>
      <c r="J456">
        <v>1989.25</v>
      </c>
      <c r="O456" t="s">
        <v>21</v>
      </c>
      <c r="P456" t="s">
        <v>1025</v>
      </c>
    </row>
    <row r="457" spans="1:16" x14ac:dyDescent="0.3">
      <c r="A457" t="s">
        <v>1026</v>
      </c>
      <c r="C457" t="s">
        <v>17</v>
      </c>
      <c r="D457" t="s">
        <v>404</v>
      </c>
      <c r="E457" t="s">
        <v>19</v>
      </c>
      <c r="F457" t="s">
        <v>1027</v>
      </c>
      <c r="G457" t="s">
        <v>20</v>
      </c>
      <c r="H457">
        <v>4873</v>
      </c>
      <c r="I457">
        <v>0</v>
      </c>
      <c r="J457">
        <v>0</v>
      </c>
      <c r="O457" t="s">
        <v>21</v>
      </c>
      <c r="P457" t="s">
        <v>1028</v>
      </c>
    </row>
    <row r="458" spans="1:16" x14ac:dyDescent="0.3">
      <c r="A458" t="s">
        <v>1029</v>
      </c>
      <c r="C458" t="s">
        <v>17</v>
      </c>
      <c r="D458" t="s">
        <v>408</v>
      </c>
      <c r="E458" t="s">
        <v>409</v>
      </c>
      <c r="G458" t="s">
        <v>20</v>
      </c>
      <c r="H458">
        <v>4900</v>
      </c>
      <c r="I458">
        <v>26.337499999999999</v>
      </c>
      <c r="J458">
        <v>4873.6625000000004</v>
      </c>
      <c r="O458" t="s">
        <v>21</v>
      </c>
      <c r="P458" t="s">
        <v>1030</v>
      </c>
    </row>
    <row r="459" spans="1:16" x14ac:dyDescent="0.3">
      <c r="A459" t="s">
        <v>1031</v>
      </c>
      <c r="C459" t="s">
        <v>17</v>
      </c>
      <c r="D459" t="s">
        <v>18</v>
      </c>
      <c r="E459" t="s">
        <v>19</v>
      </c>
      <c r="G459" t="s">
        <v>20</v>
      </c>
      <c r="H459">
        <v>7671.5</v>
      </c>
      <c r="I459">
        <v>0</v>
      </c>
      <c r="J459">
        <v>7671.5</v>
      </c>
      <c r="O459" t="s">
        <v>21</v>
      </c>
      <c r="P459" t="s">
        <v>1032</v>
      </c>
    </row>
    <row r="460" spans="1:16" x14ac:dyDescent="0.3">
      <c r="A460" t="s">
        <v>1033</v>
      </c>
      <c r="C460" t="s">
        <v>17</v>
      </c>
      <c r="D460" t="s">
        <v>18</v>
      </c>
      <c r="E460" t="s">
        <v>19</v>
      </c>
      <c r="G460" t="s">
        <v>20</v>
      </c>
      <c r="H460">
        <v>7650</v>
      </c>
      <c r="I460">
        <v>0</v>
      </c>
      <c r="J460">
        <v>7650</v>
      </c>
      <c r="O460" t="s">
        <v>21</v>
      </c>
      <c r="P460" t="s">
        <v>1034</v>
      </c>
    </row>
    <row r="461" spans="1:16" x14ac:dyDescent="0.3">
      <c r="A461" t="s">
        <v>1035</v>
      </c>
      <c r="C461" t="s">
        <v>17</v>
      </c>
      <c r="D461" t="s">
        <v>18</v>
      </c>
      <c r="E461" t="s">
        <v>19</v>
      </c>
      <c r="G461" t="s">
        <v>20</v>
      </c>
      <c r="H461">
        <v>7650</v>
      </c>
      <c r="I461">
        <v>0</v>
      </c>
      <c r="J461">
        <v>7650</v>
      </c>
      <c r="O461" t="s">
        <v>21</v>
      </c>
      <c r="P461" t="s">
        <v>1036</v>
      </c>
    </row>
    <row r="462" spans="1:16" x14ac:dyDescent="0.3">
      <c r="A462" t="s">
        <v>1037</v>
      </c>
      <c r="C462" t="s">
        <v>17</v>
      </c>
      <c r="D462" t="s">
        <v>404</v>
      </c>
      <c r="E462" t="s">
        <v>19</v>
      </c>
      <c r="F462" t="s">
        <v>1038</v>
      </c>
      <c r="G462" t="s">
        <v>20</v>
      </c>
      <c r="H462">
        <v>7658</v>
      </c>
      <c r="I462">
        <v>0</v>
      </c>
      <c r="J462">
        <v>0</v>
      </c>
      <c r="O462" t="s">
        <v>21</v>
      </c>
      <c r="P462" t="s">
        <v>1039</v>
      </c>
    </row>
    <row r="463" spans="1:16" x14ac:dyDescent="0.3">
      <c r="A463" t="s">
        <v>1040</v>
      </c>
      <c r="C463" t="s">
        <v>17</v>
      </c>
      <c r="D463" t="s">
        <v>408</v>
      </c>
      <c r="E463" t="s">
        <v>409</v>
      </c>
      <c r="G463" t="s">
        <v>20</v>
      </c>
      <c r="H463">
        <v>500</v>
      </c>
      <c r="I463">
        <v>2.6875</v>
      </c>
      <c r="J463">
        <v>497.3125</v>
      </c>
      <c r="O463" t="s">
        <v>412</v>
      </c>
      <c r="P463" t="s">
        <v>1041</v>
      </c>
    </row>
    <row r="464" spans="1:16" x14ac:dyDescent="0.3">
      <c r="A464" t="s">
        <v>1042</v>
      </c>
      <c r="C464" t="s">
        <v>17</v>
      </c>
      <c r="D464" t="s">
        <v>408</v>
      </c>
      <c r="E464" t="s">
        <v>409</v>
      </c>
      <c r="G464" t="s">
        <v>20</v>
      </c>
      <c r="H464">
        <v>2600</v>
      </c>
      <c r="I464">
        <v>13.975</v>
      </c>
      <c r="J464">
        <v>2586.0250000000001</v>
      </c>
      <c r="O464" t="s">
        <v>21</v>
      </c>
      <c r="P464" t="s">
        <v>1043</v>
      </c>
    </row>
    <row r="465" spans="1:16" x14ac:dyDescent="0.3">
      <c r="A465" t="s">
        <v>1044</v>
      </c>
      <c r="C465" t="s">
        <v>17</v>
      </c>
      <c r="D465" t="s">
        <v>408</v>
      </c>
      <c r="E465" t="s">
        <v>409</v>
      </c>
      <c r="G465" t="s">
        <v>20</v>
      </c>
      <c r="H465">
        <v>2500</v>
      </c>
      <c r="I465">
        <v>13.437499999999901</v>
      </c>
      <c r="J465">
        <v>2486.5625</v>
      </c>
      <c r="O465" t="s">
        <v>412</v>
      </c>
      <c r="P465" t="s">
        <v>1045</v>
      </c>
    </row>
    <row r="466" spans="1:16" x14ac:dyDescent="0.3">
      <c r="A466" t="s">
        <v>1046</v>
      </c>
      <c r="C466" t="s">
        <v>17</v>
      </c>
      <c r="D466" t="s">
        <v>408</v>
      </c>
      <c r="E466" t="s">
        <v>409</v>
      </c>
      <c r="G466" t="s">
        <v>20</v>
      </c>
      <c r="H466">
        <v>2600</v>
      </c>
      <c r="I466">
        <v>13.975</v>
      </c>
      <c r="J466">
        <v>2586.0250000000001</v>
      </c>
      <c r="O466" t="s">
        <v>412</v>
      </c>
      <c r="P466" t="s">
        <v>1047</v>
      </c>
    </row>
    <row r="467" spans="1:16" x14ac:dyDescent="0.3">
      <c r="A467" t="s">
        <v>1048</v>
      </c>
      <c r="C467" t="s">
        <v>17</v>
      </c>
      <c r="D467" t="s">
        <v>408</v>
      </c>
      <c r="E467" t="s">
        <v>409</v>
      </c>
      <c r="G467" t="s">
        <v>20</v>
      </c>
      <c r="H467">
        <v>5100</v>
      </c>
      <c r="I467">
        <v>27.412500000000001</v>
      </c>
      <c r="J467">
        <v>5072.5874999999996</v>
      </c>
      <c r="O467" t="s">
        <v>21</v>
      </c>
      <c r="P467" t="s">
        <v>1049</v>
      </c>
    </row>
    <row r="468" spans="1:16" x14ac:dyDescent="0.3">
      <c r="A468" t="s">
        <v>1050</v>
      </c>
      <c r="C468" t="s">
        <v>17</v>
      </c>
      <c r="D468" t="s">
        <v>18</v>
      </c>
      <c r="E468" t="s">
        <v>19</v>
      </c>
      <c r="G468" t="s">
        <v>20</v>
      </c>
      <c r="H468">
        <v>10021.5</v>
      </c>
      <c r="I468">
        <v>0</v>
      </c>
      <c r="J468">
        <v>10021.5</v>
      </c>
      <c r="O468" t="s">
        <v>21</v>
      </c>
      <c r="P468" t="s">
        <v>1051</v>
      </c>
    </row>
    <row r="469" spans="1:16" x14ac:dyDescent="0.3">
      <c r="A469" t="s">
        <v>1052</v>
      </c>
      <c r="C469" t="s">
        <v>17</v>
      </c>
      <c r="D469" t="s">
        <v>18</v>
      </c>
      <c r="E469" t="s">
        <v>19</v>
      </c>
      <c r="G469" t="s">
        <v>20</v>
      </c>
      <c r="H469">
        <v>10050</v>
      </c>
      <c r="I469">
        <v>0</v>
      </c>
      <c r="J469">
        <v>10050</v>
      </c>
      <c r="O469" t="s">
        <v>21</v>
      </c>
      <c r="P469" t="s">
        <v>1053</v>
      </c>
    </row>
    <row r="470" spans="1:16" x14ac:dyDescent="0.3">
      <c r="A470" t="s">
        <v>1054</v>
      </c>
      <c r="C470" t="s">
        <v>17</v>
      </c>
      <c r="D470" t="s">
        <v>18</v>
      </c>
      <c r="E470" t="s">
        <v>19</v>
      </c>
      <c r="G470" t="s">
        <v>20</v>
      </c>
      <c r="H470">
        <v>10050</v>
      </c>
      <c r="I470">
        <v>0</v>
      </c>
      <c r="J470">
        <v>10050</v>
      </c>
      <c r="O470" t="s">
        <v>21</v>
      </c>
      <c r="P470" t="s">
        <v>1055</v>
      </c>
    </row>
    <row r="471" spans="1:16" x14ac:dyDescent="0.3">
      <c r="A471" t="s">
        <v>1056</v>
      </c>
      <c r="C471" t="s">
        <v>17</v>
      </c>
      <c r="D471" t="s">
        <v>404</v>
      </c>
      <c r="E471" t="s">
        <v>19</v>
      </c>
      <c r="F471" t="s">
        <v>1057</v>
      </c>
      <c r="G471" t="s">
        <v>20</v>
      </c>
      <c r="H471">
        <v>9946</v>
      </c>
      <c r="I471">
        <v>0</v>
      </c>
      <c r="J471">
        <v>0</v>
      </c>
      <c r="O471" t="s">
        <v>21</v>
      </c>
      <c r="P471" t="s">
        <v>1058</v>
      </c>
    </row>
    <row r="472" spans="1:16" x14ac:dyDescent="0.3">
      <c r="A472" t="s">
        <v>1059</v>
      </c>
      <c r="C472" t="s">
        <v>17</v>
      </c>
      <c r="D472" t="s">
        <v>408</v>
      </c>
      <c r="E472" t="s">
        <v>409</v>
      </c>
      <c r="G472" t="s">
        <v>20</v>
      </c>
      <c r="H472">
        <v>10000</v>
      </c>
      <c r="I472">
        <v>53.749999999999901</v>
      </c>
      <c r="J472">
        <v>9946.25</v>
      </c>
      <c r="O472" t="s">
        <v>21</v>
      </c>
      <c r="P472" t="s">
        <v>1060</v>
      </c>
    </row>
    <row r="473" spans="1:16" x14ac:dyDescent="0.3">
      <c r="A473" t="s">
        <v>1061</v>
      </c>
      <c r="C473" t="s">
        <v>17</v>
      </c>
      <c r="D473" t="s">
        <v>18</v>
      </c>
      <c r="E473" t="s">
        <v>19</v>
      </c>
      <c r="G473" t="s">
        <v>20</v>
      </c>
      <c r="H473">
        <v>2011.5</v>
      </c>
      <c r="I473">
        <v>0</v>
      </c>
      <c r="J473">
        <v>2011.5</v>
      </c>
      <c r="O473" t="s">
        <v>21</v>
      </c>
      <c r="P473" t="s">
        <v>1062</v>
      </c>
    </row>
    <row r="474" spans="1:16" x14ac:dyDescent="0.3">
      <c r="A474" t="s">
        <v>1063</v>
      </c>
      <c r="C474" t="s">
        <v>17</v>
      </c>
      <c r="D474" t="s">
        <v>18</v>
      </c>
      <c r="E474" t="s">
        <v>19</v>
      </c>
      <c r="G474" t="s">
        <v>20</v>
      </c>
      <c r="H474">
        <v>2000</v>
      </c>
      <c r="I474">
        <v>0</v>
      </c>
      <c r="J474">
        <v>2000</v>
      </c>
      <c r="O474" t="s">
        <v>21</v>
      </c>
      <c r="P474" t="s">
        <v>1064</v>
      </c>
    </row>
    <row r="475" spans="1:16" x14ac:dyDescent="0.3">
      <c r="A475" t="s">
        <v>1065</v>
      </c>
      <c r="C475" t="s">
        <v>17</v>
      </c>
      <c r="D475" t="s">
        <v>18</v>
      </c>
      <c r="E475" t="s">
        <v>19</v>
      </c>
      <c r="G475" t="s">
        <v>20</v>
      </c>
      <c r="H475">
        <v>2000</v>
      </c>
      <c r="I475">
        <v>0</v>
      </c>
      <c r="J475">
        <v>2000</v>
      </c>
      <c r="O475" t="s">
        <v>21</v>
      </c>
      <c r="P475" t="s">
        <v>1066</v>
      </c>
    </row>
    <row r="476" spans="1:16" x14ac:dyDescent="0.3">
      <c r="A476" t="s">
        <v>1067</v>
      </c>
      <c r="C476" t="s">
        <v>17</v>
      </c>
      <c r="D476" t="s">
        <v>404</v>
      </c>
      <c r="E476" t="s">
        <v>19</v>
      </c>
      <c r="F476" t="s">
        <v>1068</v>
      </c>
      <c r="G476" t="s">
        <v>20</v>
      </c>
      <c r="H476">
        <v>2088</v>
      </c>
      <c r="I476">
        <v>0</v>
      </c>
      <c r="J476">
        <v>0</v>
      </c>
      <c r="O476" t="s">
        <v>21</v>
      </c>
      <c r="P476" t="s">
        <v>1069</v>
      </c>
    </row>
    <row r="477" spans="1:16" x14ac:dyDescent="0.3">
      <c r="A477" t="s">
        <v>1070</v>
      </c>
      <c r="C477" t="s">
        <v>17</v>
      </c>
      <c r="D477" t="s">
        <v>408</v>
      </c>
      <c r="E477" t="s">
        <v>409</v>
      </c>
      <c r="G477" t="s">
        <v>20</v>
      </c>
      <c r="H477">
        <v>500</v>
      </c>
      <c r="I477">
        <v>2.6875</v>
      </c>
      <c r="J477">
        <v>497.3125</v>
      </c>
      <c r="O477" t="s">
        <v>412</v>
      </c>
      <c r="P477" t="s">
        <v>1071</v>
      </c>
    </row>
    <row r="478" spans="1:16" x14ac:dyDescent="0.3">
      <c r="A478" t="s">
        <v>1072</v>
      </c>
      <c r="C478" t="s">
        <v>17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412</v>
      </c>
      <c r="P478" t="s">
        <v>1073</v>
      </c>
    </row>
    <row r="479" spans="1:16" x14ac:dyDescent="0.3">
      <c r="A479" t="s">
        <v>1074</v>
      </c>
      <c r="C479" t="s">
        <v>17</v>
      </c>
      <c r="D479" t="s">
        <v>408</v>
      </c>
      <c r="E479" t="s">
        <v>409</v>
      </c>
      <c r="G479" t="s">
        <v>20</v>
      </c>
      <c r="H479">
        <v>500</v>
      </c>
      <c r="I479">
        <v>2.6875</v>
      </c>
      <c r="J479">
        <v>497.3125</v>
      </c>
      <c r="O479" t="s">
        <v>21</v>
      </c>
      <c r="P479" t="s">
        <v>1075</v>
      </c>
    </row>
    <row r="480" spans="1:16" x14ac:dyDescent="0.3">
      <c r="A480" t="s">
        <v>1076</v>
      </c>
      <c r="C480" t="s">
        <v>17</v>
      </c>
      <c r="D480" t="s">
        <v>408</v>
      </c>
      <c r="E480" t="s">
        <v>409</v>
      </c>
      <c r="G480" t="s">
        <v>20</v>
      </c>
      <c r="H480">
        <v>1600</v>
      </c>
      <c r="I480">
        <v>8.6</v>
      </c>
      <c r="J480">
        <v>1591.4</v>
      </c>
      <c r="O480" t="s">
        <v>21</v>
      </c>
      <c r="P480" t="s">
        <v>1077</v>
      </c>
    </row>
    <row r="481" spans="1:16" x14ac:dyDescent="0.3">
      <c r="A481" t="s">
        <v>1078</v>
      </c>
      <c r="C481" t="s">
        <v>17</v>
      </c>
      <c r="D481" t="s">
        <v>18</v>
      </c>
      <c r="E481" t="s">
        <v>19</v>
      </c>
      <c r="G481" t="s">
        <v>20</v>
      </c>
      <c r="H481">
        <v>10021.5</v>
      </c>
      <c r="I481">
        <v>0</v>
      </c>
      <c r="J481">
        <v>10021.5</v>
      </c>
      <c r="O481" t="s">
        <v>21</v>
      </c>
      <c r="P481" t="s">
        <v>1079</v>
      </c>
    </row>
    <row r="482" spans="1:16" x14ac:dyDescent="0.3">
      <c r="A482" t="s">
        <v>1080</v>
      </c>
      <c r="C482" t="s">
        <v>17</v>
      </c>
      <c r="D482" t="s">
        <v>18</v>
      </c>
      <c r="E482" t="s">
        <v>19</v>
      </c>
      <c r="G482" t="s">
        <v>20</v>
      </c>
      <c r="H482">
        <v>10000</v>
      </c>
      <c r="I482">
        <v>0</v>
      </c>
      <c r="J482">
        <v>10000</v>
      </c>
      <c r="O482" t="s">
        <v>21</v>
      </c>
      <c r="P482" t="s">
        <v>1081</v>
      </c>
    </row>
    <row r="483" spans="1:16" x14ac:dyDescent="0.3">
      <c r="A483" t="s">
        <v>1082</v>
      </c>
      <c r="C483" t="s">
        <v>17</v>
      </c>
      <c r="D483" t="s">
        <v>18</v>
      </c>
      <c r="E483" t="s">
        <v>19</v>
      </c>
      <c r="G483" t="s">
        <v>20</v>
      </c>
      <c r="H483">
        <v>10000</v>
      </c>
      <c r="I483">
        <v>0</v>
      </c>
      <c r="J483">
        <v>10000</v>
      </c>
      <c r="O483" t="s">
        <v>21</v>
      </c>
      <c r="P483" t="s">
        <v>1083</v>
      </c>
    </row>
    <row r="484" spans="1:16" x14ac:dyDescent="0.3">
      <c r="A484" t="s">
        <v>1084</v>
      </c>
      <c r="C484" t="s">
        <v>17</v>
      </c>
      <c r="D484" t="s">
        <v>404</v>
      </c>
      <c r="E484" t="s">
        <v>19</v>
      </c>
      <c r="F484" t="s">
        <v>1085</v>
      </c>
      <c r="G484" t="s">
        <v>20</v>
      </c>
      <c r="H484">
        <v>9946</v>
      </c>
      <c r="I484">
        <v>0</v>
      </c>
      <c r="J484">
        <v>0</v>
      </c>
      <c r="O484" t="s">
        <v>21</v>
      </c>
      <c r="P484" t="s">
        <v>1086</v>
      </c>
    </row>
    <row r="485" spans="1:16" x14ac:dyDescent="0.3">
      <c r="A485" t="s">
        <v>1087</v>
      </c>
      <c r="C485" t="s">
        <v>17</v>
      </c>
      <c r="D485" t="s">
        <v>408</v>
      </c>
      <c r="E485" t="s">
        <v>409</v>
      </c>
      <c r="G485" t="s">
        <v>20</v>
      </c>
      <c r="H485">
        <v>1000</v>
      </c>
      <c r="I485">
        <v>5.375</v>
      </c>
      <c r="J485">
        <v>994.625</v>
      </c>
      <c r="O485" t="s">
        <v>412</v>
      </c>
      <c r="P485" t="s">
        <v>1088</v>
      </c>
    </row>
    <row r="486" spans="1:16" x14ac:dyDescent="0.3">
      <c r="A486" t="s">
        <v>1089</v>
      </c>
      <c r="C486" t="s">
        <v>17</v>
      </c>
      <c r="D486" t="s">
        <v>408</v>
      </c>
      <c r="E486" t="s">
        <v>409</v>
      </c>
      <c r="G486" t="s">
        <v>20</v>
      </c>
      <c r="H486">
        <v>10000</v>
      </c>
      <c r="I486">
        <v>53.749999999999901</v>
      </c>
      <c r="J486">
        <v>9946.25</v>
      </c>
      <c r="O486" t="s">
        <v>21</v>
      </c>
      <c r="P486" t="s">
        <v>1090</v>
      </c>
    </row>
    <row r="487" spans="1:16" x14ac:dyDescent="0.3">
      <c r="A487" t="s">
        <v>1091</v>
      </c>
      <c r="C487" t="s">
        <v>17</v>
      </c>
      <c r="D487" t="s">
        <v>18</v>
      </c>
      <c r="E487" t="s">
        <v>19</v>
      </c>
      <c r="G487" t="s">
        <v>20</v>
      </c>
      <c r="H487">
        <v>25971.5</v>
      </c>
      <c r="I487">
        <v>0</v>
      </c>
      <c r="J487">
        <v>25971.5</v>
      </c>
      <c r="O487" t="s">
        <v>21</v>
      </c>
      <c r="P487" t="s">
        <v>1092</v>
      </c>
    </row>
    <row r="488" spans="1:16" x14ac:dyDescent="0.3">
      <c r="A488" t="s">
        <v>1093</v>
      </c>
      <c r="C488" t="s">
        <v>17</v>
      </c>
      <c r="D488" t="s">
        <v>18</v>
      </c>
      <c r="E488" t="s">
        <v>19</v>
      </c>
      <c r="G488" t="s">
        <v>20</v>
      </c>
      <c r="H488">
        <v>26000</v>
      </c>
      <c r="I488">
        <v>0</v>
      </c>
      <c r="J488">
        <v>26000</v>
      </c>
      <c r="O488" t="s">
        <v>21</v>
      </c>
      <c r="P488" t="s">
        <v>1094</v>
      </c>
    </row>
    <row r="489" spans="1:16" x14ac:dyDescent="0.3">
      <c r="A489" t="s">
        <v>1095</v>
      </c>
      <c r="C489" t="s">
        <v>17</v>
      </c>
      <c r="D489" t="s">
        <v>18</v>
      </c>
      <c r="E489" t="s">
        <v>19</v>
      </c>
      <c r="G489" t="s">
        <v>20</v>
      </c>
      <c r="H489">
        <v>26000</v>
      </c>
      <c r="I489">
        <v>0</v>
      </c>
      <c r="J489">
        <v>26000</v>
      </c>
      <c r="O489" t="s">
        <v>21</v>
      </c>
      <c r="P489" t="s">
        <v>1096</v>
      </c>
    </row>
    <row r="490" spans="1:16" x14ac:dyDescent="0.3">
      <c r="A490" t="s">
        <v>1097</v>
      </c>
      <c r="C490" t="s">
        <v>17</v>
      </c>
      <c r="D490" t="s">
        <v>404</v>
      </c>
      <c r="E490" t="s">
        <v>19</v>
      </c>
      <c r="F490" t="s">
        <v>1098</v>
      </c>
      <c r="G490" t="s">
        <v>20</v>
      </c>
      <c r="H490">
        <v>26059</v>
      </c>
      <c r="I490">
        <v>0</v>
      </c>
      <c r="J490">
        <v>0</v>
      </c>
      <c r="O490" t="s">
        <v>21</v>
      </c>
      <c r="P490" t="s">
        <v>1099</v>
      </c>
    </row>
    <row r="491" spans="1:16" x14ac:dyDescent="0.3">
      <c r="A491" t="s">
        <v>1100</v>
      </c>
      <c r="C491" t="s">
        <v>17</v>
      </c>
      <c r="D491" t="s">
        <v>408</v>
      </c>
      <c r="E491" t="s">
        <v>409</v>
      </c>
      <c r="G491" t="s">
        <v>20</v>
      </c>
      <c r="H491">
        <v>14000</v>
      </c>
      <c r="I491">
        <v>75.25</v>
      </c>
      <c r="J491">
        <v>13924.75</v>
      </c>
      <c r="O491" t="s">
        <v>21</v>
      </c>
      <c r="P491" t="s">
        <v>1101</v>
      </c>
    </row>
    <row r="492" spans="1:16" x14ac:dyDescent="0.3">
      <c r="A492" t="s">
        <v>1102</v>
      </c>
      <c r="C492" t="s">
        <v>17</v>
      </c>
      <c r="D492" t="s">
        <v>408</v>
      </c>
      <c r="E492" t="s">
        <v>409</v>
      </c>
      <c r="G492" t="s">
        <v>20</v>
      </c>
      <c r="H492">
        <v>12200</v>
      </c>
      <c r="I492">
        <v>65.575000000000003</v>
      </c>
      <c r="J492">
        <v>12134.424999999999</v>
      </c>
      <c r="O492" t="s">
        <v>21</v>
      </c>
      <c r="P492" t="s">
        <v>1103</v>
      </c>
    </row>
    <row r="493" spans="1:16" x14ac:dyDescent="0.3">
      <c r="A493" t="s">
        <v>1104</v>
      </c>
      <c r="C493" t="s">
        <v>17</v>
      </c>
      <c r="D493" t="s">
        <v>18</v>
      </c>
      <c r="E493" t="s">
        <v>19</v>
      </c>
      <c r="G493" t="s">
        <v>20</v>
      </c>
      <c r="H493">
        <v>1521.5</v>
      </c>
      <c r="I493">
        <v>0</v>
      </c>
      <c r="J493">
        <v>1521.5</v>
      </c>
      <c r="O493" t="s">
        <v>21</v>
      </c>
      <c r="P493" t="s">
        <v>1105</v>
      </c>
    </row>
    <row r="494" spans="1:16" x14ac:dyDescent="0.3">
      <c r="A494" t="s">
        <v>1106</v>
      </c>
      <c r="C494" t="s">
        <v>17</v>
      </c>
      <c r="D494" t="s">
        <v>18</v>
      </c>
      <c r="E494" t="s">
        <v>19</v>
      </c>
      <c r="G494" t="s">
        <v>20</v>
      </c>
      <c r="H494">
        <v>1530</v>
      </c>
      <c r="I494">
        <v>0</v>
      </c>
      <c r="J494">
        <v>1530</v>
      </c>
      <c r="O494" t="s">
        <v>21</v>
      </c>
      <c r="P494" t="s">
        <v>1107</v>
      </c>
    </row>
    <row r="495" spans="1:16" x14ac:dyDescent="0.3">
      <c r="A495" t="s">
        <v>1108</v>
      </c>
      <c r="C495" t="s">
        <v>17</v>
      </c>
      <c r="D495" t="s">
        <v>18</v>
      </c>
      <c r="E495" t="s">
        <v>19</v>
      </c>
      <c r="G495" t="s">
        <v>20</v>
      </c>
      <c r="H495">
        <v>1530</v>
      </c>
      <c r="I495">
        <v>0</v>
      </c>
      <c r="J495">
        <v>1530</v>
      </c>
      <c r="O495" t="s">
        <v>21</v>
      </c>
      <c r="P495" t="s">
        <v>1109</v>
      </c>
    </row>
    <row r="496" spans="1:16" x14ac:dyDescent="0.3">
      <c r="A496" t="s">
        <v>1110</v>
      </c>
      <c r="C496" t="s">
        <v>17</v>
      </c>
      <c r="D496" t="s">
        <v>404</v>
      </c>
      <c r="E496" t="s">
        <v>19</v>
      </c>
      <c r="F496" t="s">
        <v>1111</v>
      </c>
      <c r="G496" t="s">
        <v>20</v>
      </c>
      <c r="H496">
        <v>1541</v>
      </c>
      <c r="I496">
        <v>0</v>
      </c>
      <c r="J496">
        <v>0</v>
      </c>
      <c r="O496" t="s">
        <v>21</v>
      </c>
      <c r="P496" t="s">
        <v>1112</v>
      </c>
    </row>
    <row r="497" spans="1:16" x14ac:dyDescent="0.3">
      <c r="A497" t="s">
        <v>1113</v>
      </c>
      <c r="C497" t="s">
        <v>17</v>
      </c>
      <c r="D497" t="s">
        <v>408</v>
      </c>
      <c r="E497" t="s">
        <v>409</v>
      </c>
      <c r="G497" t="s">
        <v>20</v>
      </c>
      <c r="H497">
        <v>1550</v>
      </c>
      <c r="I497">
        <v>8.3312500000000007</v>
      </c>
      <c r="J497">
        <v>1541.66875</v>
      </c>
      <c r="O497" t="s">
        <v>21</v>
      </c>
      <c r="P497" t="s">
        <v>1114</v>
      </c>
    </row>
    <row r="498" spans="1:16" x14ac:dyDescent="0.3">
      <c r="A498" t="s">
        <v>1115</v>
      </c>
      <c r="C498" t="s">
        <v>17</v>
      </c>
      <c r="D498" t="s">
        <v>1116</v>
      </c>
      <c r="E498" t="s">
        <v>1117</v>
      </c>
      <c r="F498" t="s">
        <v>1118</v>
      </c>
      <c r="G498" t="s">
        <v>20</v>
      </c>
      <c r="H498">
        <v>0</v>
      </c>
      <c r="I498">
        <v>0</v>
      </c>
      <c r="J498">
        <v>0</v>
      </c>
      <c r="O498" t="s">
        <v>21</v>
      </c>
      <c r="P498" t="s">
        <v>1119</v>
      </c>
    </row>
    <row r="499" spans="1:16" x14ac:dyDescent="0.3">
      <c r="A499" t="s">
        <v>1120</v>
      </c>
      <c r="C499" t="s">
        <v>17</v>
      </c>
      <c r="D499" t="s">
        <v>18</v>
      </c>
      <c r="E499" t="s">
        <v>19</v>
      </c>
      <c r="G499" t="s">
        <v>20</v>
      </c>
      <c r="H499">
        <v>3921.5</v>
      </c>
      <c r="I499">
        <v>0</v>
      </c>
      <c r="J499">
        <v>3921.5</v>
      </c>
      <c r="O499" t="s">
        <v>21</v>
      </c>
      <c r="P499" t="s">
        <v>1121</v>
      </c>
    </row>
    <row r="500" spans="1:16" x14ac:dyDescent="0.3">
      <c r="A500" t="s">
        <v>1122</v>
      </c>
      <c r="C500" t="s">
        <v>17</v>
      </c>
      <c r="D500" t="s">
        <v>18</v>
      </c>
      <c r="E500" t="s">
        <v>19</v>
      </c>
      <c r="G500" t="s">
        <v>20</v>
      </c>
      <c r="H500">
        <v>3920</v>
      </c>
      <c r="I500">
        <v>0</v>
      </c>
      <c r="J500">
        <v>3920</v>
      </c>
      <c r="O500" t="s">
        <v>21</v>
      </c>
      <c r="P500" t="s">
        <v>1123</v>
      </c>
    </row>
    <row r="501" spans="1:16" x14ac:dyDescent="0.3">
      <c r="A501" t="s">
        <v>1124</v>
      </c>
      <c r="C501" t="s">
        <v>17</v>
      </c>
      <c r="D501" t="s">
        <v>18</v>
      </c>
      <c r="E501" t="s">
        <v>19</v>
      </c>
      <c r="G501" t="s">
        <v>20</v>
      </c>
      <c r="H501">
        <v>3920</v>
      </c>
      <c r="I501">
        <v>0</v>
      </c>
      <c r="J501">
        <v>3920</v>
      </c>
      <c r="O501" t="s">
        <v>21</v>
      </c>
      <c r="P501" t="s">
        <v>1125</v>
      </c>
    </row>
    <row r="502" spans="1:16" x14ac:dyDescent="0.3">
      <c r="A502" t="s">
        <v>1126</v>
      </c>
      <c r="C502" t="s">
        <v>17</v>
      </c>
      <c r="D502" t="s">
        <v>404</v>
      </c>
      <c r="E502" t="s">
        <v>19</v>
      </c>
      <c r="F502" t="s">
        <v>1127</v>
      </c>
      <c r="G502" t="s">
        <v>20</v>
      </c>
      <c r="H502">
        <v>2983</v>
      </c>
      <c r="I502">
        <v>0</v>
      </c>
      <c r="J502">
        <v>0</v>
      </c>
      <c r="O502" t="s">
        <v>21</v>
      </c>
      <c r="P502" t="s">
        <v>1128</v>
      </c>
    </row>
    <row r="503" spans="1:16" x14ac:dyDescent="0.3">
      <c r="A503" t="s">
        <v>1129</v>
      </c>
      <c r="C503" t="s">
        <v>17</v>
      </c>
      <c r="D503" t="s">
        <v>408</v>
      </c>
      <c r="E503" t="s">
        <v>409</v>
      </c>
      <c r="G503" t="s">
        <v>20</v>
      </c>
      <c r="H503">
        <v>3000</v>
      </c>
      <c r="I503">
        <v>16.124999999999901</v>
      </c>
      <c r="J503">
        <v>2983.875</v>
      </c>
      <c r="O503" t="s">
        <v>21</v>
      </c>
      <c r="P503" t="s">
        <v>1130</v>
      </c>
    </row>
    <row r="504" spans="1:16" x14ac:dyDescent="0.3">
      <c r="A504" t="s">
        <v>1131</v>
      </c>
      <c r="C504" t="s">
        <v>17</v>
      </c>
      <c r="D504" t="s">
        <v>18</v>
      </c>
      <c r="E504" t="s">
        <v>19</v>
      </c>
      <c r="G504" t="s">
        <v>20</v>
      </c>
      <c r="H504">
        <v>13021.5</v>
      </c>
      <c r="I504">
        <v>0</v>
      </c>
      <c r="J504">
        <v>13021.5</v>
      </c>
      <c r="O504" t="s">
        <v>21</v>
      </c>
      <c r="P504" t="s">
        <v>1132</v>
      </c>
    </row>
    <row r="505" spans="1:16" x14ac:dyDescent="0.3">
      <c r="A505" t="s">
        <v>1133</v>
      </c>
      <c r="C505" t="s">
        <v>17</v>
      </c>
      <c r="D505" t="s">
        <v>18</v>
      </c>
      <c r="E505" t="s">
        <v>19</v>
      </c>
      <c r="G505" t="s">
        <v>20</v>
      </c>
      <c r="H505">
        <v>13000</v>
      </c>
      <c r="I505">
        <v>0</v>
      </c>
      <c r="J505">
        <v>13000</v>
      </c>
      <c r="O505" t="s">
        <v>21</v>
      </c>
      <c r="P505" t="s">
        <v>1134</v>
      </c>
    </row>
    <row r="506" spans="1:16" x14ac:dyDescent="0.3">
      <c r="A506" t="s">
        <v>1135</v>
      </c>
      <c r="C506" t="s">
        <v>17</v>
      </c>
      <c r="D506" t="s">
        <v>18</v>
      </c>
      <c r="E506" t="s">
        <v>19</v>
      </c>
      <c r="G506" t="s">
        <v>20</v>
      </c>
      <c r="H506">
        <v>13000</v>
      </c>
      <c r="I506">
        <v>0</v>
      </c>
      <c r="J506">
        <v>13000</v>
      </c>
      <c r="O506" t="s">
        <v>21</v>
      </c>
      <c r="P506" t="s">
        <v>1136</v>
      </c>
    </row>
    <row r="507" spans="1:16" x14ac:dyDescent="0.3">
      <c r="A507" t="s">
        <v>1137</v>
      </c>
      <c r="C507" t="s">
        <v>17</v>
      </c>
      <c r="D507" t="s">
        <v>404</v>
      </c>
      <c r="E507" t="s">
        <v>19</v>
      </c>
      <c r="F507" t="s">
        <v>1138</v>
      </c>
      <c r="G507" t="s">
        <v>20</v>
      </c>
      <c r="H507">
        <v>13924</v>
      </c>
      <c r="I507">
        <v>0</v>
      </c>
      <c r="J507">
        <v>0</v>
      </c>
      <c r="O507" t="s">
        <v>21</v>
      </c>
      <c r="P507" t="s">
        <v>1139</v>
      </c>
    </row>
    <row r="508" spans="1:16" x14ac:dyDescent="0.3">
      <c r="A508" t="s">
        <v>1140</v>
      </c>
      <c r="C508" t="s">
        <v>17</v>
      </c>
      <c r="D508" t="s">
        <v>408</v>
      </c>
      <c r="E508" t="s">
        <v>409</v>
      </c>
      <c r="G508" t="s">
        <v>20</v>
      </c>
      <c r="H508">
        <v>5000</v>
      </c>
      <c r="I508">
        <v>26.874999999999901</v>
      </c>
      <c r="J508">
        <v>4973.125</v>
      </c>
      <c r="O508" t="s">
        <v>21</v>
      </c>
      <c r="P508" t="s">
        <v>1141</v>
      </c>
    </row>
    <row r="509" spans="1:16" x14ac:dyDescent="0.3">
      <c r="A509" t="s">
        <v>1142</v>
      </c>
      <c r="C509" t="s">
        <v>17</v>
      </c>
      <c r="D509" t="s">
        <v>408</v>
      </c>
      <c r="E509" t="s">
        <v>409</v>
      </c>
      <c r="G509" t="s">
        <v>20</v>
      </c>
      <c r="H509">
        <v>9000</v>
      </c>
      <c r="I509">
        <v>48.375</v>
      </c>
      <c r="J509">
        <v>8951.625</v>
      </c>
      <c r="O509" t="s">
        <v>21</v>
      </c>
      <c r="P509" t="s">
        <v>1143</v>
      </c>
    </row>
    <row r="510" spans="1:16" x14ac:dyDescent="0.3">
      <c r="A510" t="s">
        <v>1144</v>
      </c>
      <c r="C510" t="s">
        <v>17</v>
      </c>
      <c r="D510" t="s">
        <v>18</v>
      </c>
      <c r="E510" t="s">
        <v>19</v>
      </c>
      <c r="G510" t="s">
        <v>20</v>
      </c>
      <c r="H510">
        <v>5521.5</v>
      </c>
      <c r="I510">
        <v>0</v>
      </c>
      <c r="J510">
        <v>5521.5</v>
      </c>
      <c r="O510" t="s">
        <v>21</v>
      </c>
      <c r="P510" t="s">
        <v>1145</v>
      </c>
    </row>
    <row r="511" spans="1:16" x14ac:dyDescent="0.3">
      <c r="A511" t="s">
        <v>1146</v>
      </c>
      <c r="C511" t="s">
        <v>17</v>
      </c>
      <c r="D511" t="s">
        <v>18</v>
      </c>
      <c r="E511" t="s">
        <v>19</v>
      </c>
      <c r="G511" t="s">
        <v>20</v>
      </c>
      <c r="H511">
        <v>5500</v>
      </c>
      <c r="I511">
        <v>0</v>
      </c>
      <c r="J511">
        <v>5500</v>
      </c>
      <c r="O511" t="s">
        <v>21</v>
      </c>
      <c r="P511" t="s">
        <v>1147</v>
      </c>
    </row>
    <row r="512" spans="1:16" x14ac:dyDescent="0.3">
      <c r="A512" t="s">
        <v>1148</v>
      </c>
      <c r="C512" t="s">
        <v>17</v>
      </c>
      <c r="D512" t="s">
        <v>18</v>
      </c>
      <c r="E512" t="s">
        <v>19</v>
      </c>
      <c r="G512" t="s">
        <v>20</v>
      </c>
      <c r="H512">
        <v>5500</v>
      </c>
      <c r="I512">
        <v>0</v>
      </c>
      <c r="J512">
        <v>5500</v>
      </c>
      <c r="O512" t="s">
        <v>21</v>
      </c>
      <c r="P512" t="s">
        <v>1149</v>
      </c>
    </row>
    <row r="513" spans="1:16" x14ac:dyDescent="0.3">
      <c r="A513" t="s">
        <v>1150</v>
      </c>
      <c r="C513" t="s">
        <v>17</v>
      </c>
      <c r="D513" t="s">
        <v>404</v>
      </c>
      <c r="E513" t="s">
        <v>19</v>
      </c>
      <c r="F513" t="s">
        <v>1151</v>
      </c>
      <c r="G513" t="s">
        <v>20</v>
      </c>
      <c r="H513">
        <v>5470</v>
      </c>
      <c r="I513">
        <v>0</v>
      </c>
      <c r="J513">
        <v>0</v>
      </c>
      <c r="O513" t="s">
        <v>21</v>
      </c>
      <c r="P513" t="s">
        <v>1152</v>
      </c>
    </row>
    <row r="514" spans="1:16" x14ac:dyDescent="0.3">
      <c r="A514" t="s">
        <v>1153</v>
      </c>
      <c r="C514" t="s">
        <v>17</v>
      </c>
      <c r="D514" t="s">
        <v>408</v>
      </c>
      <c r="E514" t="s">
        <v>409</v>
      </c>
      <c r="G514" t="s">
        <v>20</v>
      </c>
      <c r="H514">
        <v>3500</v>
      </c>
      <c r="I514">
        <v>18.8125</v>
      </c>
      <c r="J514">
        <v>3481.1875</v>
      </c>
      <c r="O514" t="s">
        <v>21</v>
      </c>
      <c r="P514" t="s">
        <v>1154</v>
      </c>
    </row>
    <row r="515" spans="1:16" x14ac:dyDescent="0.3">
      <c r="A515" t="s">
        <v>1155</v>
      </c>
      <c r="C515" t="s">
        <v>17</v>
      </c>
      <c r="D515" t="s">
        <v>408</v>
      </c>
      <c r="E515" t="s">
        <v>409</v>
      </c>
      <c r="G515" t="s">
        <v>20</v>
      </c>
      <c r="H515">
        <v>3500</v>
      </c>
      <c r="I515">
        <v>18.8125</v>
      </c>
      <c r="J515">
        <v>3481.1875</v>
      </c>
      <c r="O515" t="s">
        <v>412</v>
      </c>
      <c r="P515" t="s">
        <v>1156</v>
      </c>
    </row>
    <row r="516" spans="1:16" x14ac:dyDescent="0.3">
      <c r="A516" t="s">
        <v>1157</v>
      </c>
      <c r="C516" t="s">
        <v>17</v>
      </c>
      <c r="D516" t="s">
        <v>408</v>
      </c>
      <c r="E516" t="s">
        <v>409</v>
      </c>
      <c r="G516" t="s">
        <v>20</v>
      </c>
      <c r="H516">
        <v>3500</v>
      </c>
      <c r="I516">
        <v>18.8125</v>
      </c>
      <c r="J516">
        <v>3481.1875</v>
      </c>
      <c r="O516" t="s">
        <v>412</v>
      </c>
      <c r="P516" t="s">
        <v>1158</v>
      </c>
    </row>
    <row r="517" spans="1:16" x14ac:dyDescent="0.3">
      <c r="A517" t="s">
        <v>1159</v>
      </c>
      <c r="C517" t="s">
        <v>17</v>
      </c>
      <c r="D517" t="s">
        <v>408</v>
      </c>
      <c r="E517" t="s">
        <v>409</v>
      </c>
      <c r="G517" t="s">
        <v>20</v>
      </c>
      <c r="H517">
        <v>2000</v>
      </c>
      <c r="I517">
        <v>10.75</v>
      </c>
      <c r="J517">
        <v>1989.25</v>
      </c>
      <c r="O517" t="s">
        <v>21</v>
      </c>
      <c r="P517" t="s">
        <v>1160</v>
      </c>
    </row>
    <row r="518" spans="1:16" x14ac:dyDescent="0.3">
      <c r="A518" t="s">
        <v>1161</v>
      </c>
      <c r="C518" t="s">
        <v>17</v>
      </c>
      <c r="D518" t="s">
        <v>18</v>
      </c>
      <c r="E518" t="s">
        <v>19</v>
      </c>
      <c r="G518" t="s">
        <v>20</v>
      </c>
      <c r="H518">
        <v>1451.5</v>
      </c>
      <c r="I518">
        <v>0</v>
      </c>
      <c r="J518">
        <v>1451.5</v>
      </c>
      <c r="O518" t="s">
        <v>21</v>
      </c>
      <c r="P518" t="s">
        <v>1162</v>
      </c>
    </row>
    <row r="519" spans="1:16" x14ac:dyDescent="0.3">
      <c r="A519" t="s">
        <v>1163</v>
      </c>
      <c r="C519" t="s">
        <v>17</v>
      </c>
      <c r="D519" t="s">
        <v>18</v>
      </c>
      <c r="E519" t="s">
        <v>19</v>
      </c>
      <c r="G519" t="s">
        <v>20</v>
      </c>
      <c r="H519">
        <v>1500</v>
      </c>
      <c r="I519">
        <v>0</v>
      </c>
      <c r="J519">
        <v>1500</v>
      </c>
      <c r="O519" t="s">
        <v>21</v>
      </c>
      <c r="P519" t="s">
        <v>1164</v>
      </c>
    </row>
    <row r="520" spans="1:16" x14ac:dyDescent="0.3">
      <c r="A520" t="s">
        <v>1165</v>
      </c>
      <c r="C520" t="s">
        <v>17</v>
      </c>
      <c r="D520" t="s">
        <v>18</v>
      </c>
      <c r="E520" t="s">
        <v>19</v>
      </c>
      <c r="G520" t="s">
        <v>20</v>
      </c>
      <c r="H520">
        <v>1500</v>
      </c>
      <c r="I520">
        <v>0</v>
      </c>
      <c r="J520">
        <v>1500</v>
      </c>
      <c r="O520" t="s">
        <v>21</v>
      </c>
      <c r="P520" t="s">
        <v>1166</v>
      </c>
    </row>
    <row r="521" spans="1:16" x14ac:dyDescent="0.3">
      <c r="A521" t="s">
        <v>1167</v>
      </c>
      <c r="C521" t="s">
        <v>17</v>
      </c>
      <c r="D521" t="s">
        <v>404</v>
      </c>
      <c r="E521" t="s">
        <v>19</v>
      </c>
      <c r="F521" t="s">
        <v>1168</v>
      </c>
      <c r="G521" t="s">
        <v>20</v>
      </c>
      <c r="H521">
        <v>1541</v>
      </c>
      <c r="I521">
        <v>0</v>
      </c>
      <c r="J521">
        <v>0</v>
      </c>
      <c r="O521" t="s">
        <v>21</v>
      </c>
      <c r="P521" t="s">
        <v>1169</v>
      </c>
    </row>
    <row r="522" spans="1:16" x14ac:dyDescent="0.3">
      <c r="A522" t="s">
        <v>1170</v>
      </c>
      <c r="C522" t="s">
        <v>17</v>
      </c>
      <c r="D522" t="s">
        <v>408</v>
      </c>
      <c r="E522" t="s">
        <v>409</v>
      </c>
      <c r="G522" t="s">
        <v>20</v>
      </c>
      <c r="H522">
        <v>1550</v>
      </c>
      <c r="I522">
        <v>8.3312500000000007</v>
      </c>
      <c r="J522">
        <v>1541.66875</v>
      </c>
      <c r="O522" t="s">
        <v>21</v>
      </c>
      <c r="P522" t="s">
        <v>1171</v>
      </c>
    </row>
    <row r="523" spans="1:16" x14ac:dyDescent="0.3">
      <c r="A523" t="s">
        <v>1172</v>
      </c>
      <c r="C523" t="s">
        <v>17</v>
      </c>
      <c r="D523" t="s">
        <v>18</v>
      </c>
      <c r="E523" t="s">
        <v>19</v>
      </c>
      <c r="G523" t="s">
        <v>20</v>
      </c>
      <c r="H523">
        <v>9321.5</v>
      </c>
      <c r="I523">
        <v>0</v>
      </c>
      <c r="J523">
        <v>9321.5</v>
      </c>
      <c r="O523" t="s">
        <v>21</v>
      </c>
      <c r="P523" t="s">
        <v>1173</v>
      </c>
    </row>
    <row r="524" spans="1:16" x14ac:dyDescent="0.3">
      <c r="A524" t="s">
        <v>1174</v>
      </c>
      <c r="C524" t="s">
        <v>17</v>
      </c>
      <c r="D524" t="s">
        <v>18</v>
      </c>
      <c r="E524" t="s">
        <v>19</v>
      </c>
      <c r="G524" t="s">
        <v>20</v>
      </c>
      <c r="H524">
        <v>9300</v>
      </c>
      <c r="I524">
        <v>0</v>
      </c>
      <c r="J524">
        <v>9300</v>
      </c>
      <c r="O524" t="s">
        <v>21</v>
      </c>
      <c r="P524" t="s">
        <v>1175</v>
      </c>
    </row>
    <row r="525" spans="1:16" x14ac:dyDescent="0.3">
      <c r="A525" t="s">
        <v>1176</v>
      </c>
      <c r="C525" t="s">
        <v>17</v>
      </c>
      <c r="D525" t="s">
        <v>18</v>
      </c>
      <c r="E525" t="s">
        <v>19</v>
      </c>
      <c r="G525" t="s">
        <v>20</v>
      </c>
      <c r="H525">
        <v>9300</v>
      </c>
      <c r="I525">
        <v>0</v>
      </c>
      <c r="J525">
        <v>9300</v>
      </c>
      <c r="O525" t="s">
        <v>21</v>
      </c>
      <c r="P525" t="s">
        <v>1177</v>
      </c>
    </row>
    <row r="526" spans="1:16" x14ac:dyDescent="0.3">
      <c r="A526" t="s">
        <v>1178</v>
      </c>
      <c r="C526" t="s">
        <v>17</v>
      </c>
      <c r="D526" t="s">
        <v>18</v>
      </c>
      <c r="E526" t="s">
        <v>19</v>
      </c>
      <c r="G526" t="s">
        <v>20</v>
      </c>
      <c r="H526">
        <v>4971.5</v>
      </c>
      <c r="I526">
        <v>0</v>
      </c>
      <c r="J526">
        <v>4971.5</v>
      </c>
      <c r="O526" t="s">
        <v>21</v>
      </c>
      <c r="P526" t="s">
        <v>1179</v>
      </c>
    </row>
    <row r="527" spans="1:16" x14ac:dyDescent="0.3">
      <c r="A527" t="s">
        <v>1180</v>
      </c>
      <c r="C527" t="s">
        <v>17</v>
      </c>
      <c r="D527" t="s">
        <v>18</v>
      </c>
      <c r="E527" t="s">
        <v>19</v>
      </c>
      <c r="G527" t="s">
        <v>20</v>
      </c>
      <c r="H527">
        <v>5000</v>
      </c>
      <c r="I527">
        <v>0</v>
      </c>
      <c r="J527">
        <v>5000</v>
      </c>
      <c r="O527" t="s">
        <v>21</v>
      </c>
      <c r="P527" t="s">
        <v>1181</v>
      </c>
    </row>
    <row r="528" spans="1:16" x14ac:dyDescent="0.3">
      <c r="A528" t="s">
        <v>1182</v>
      </c>
      <c r="C528" t="s">
        <v>17</v>
      </c>
      <c r="D528" t="s">
        <v>18</v>
      </c>
      <c r="E528" t="s">
        <v>19</v>
      </c>
      <c r="G528" t="s">
        <v>20</v>
      </c>
      <c r="H528">
        <v>5000</v>
      </c>
      <c r="I528">
        <v>0</v>
      </c>
      <c r="J528">
        <v>5000</v>
      </c>
      <c r="O528" t="s">
        <v>21</v>
      </c>
      <c r="P528" t="s">
        <v>1183</v>
      </c>
    </row>
    <row r="529" spans="1:16" x14ac:dyDescent="0.3">
      <c r="A529" t="s">
        <v>1184</v>
      </c>
      <c r="C529" t="s">
        <v>17</v>
      </c>
      <c r="D529" t="s">
        <v>404</v>
      </c>
      <c r="E529" t="s">
        <v>19</v>
      </c>
      <c r="F529" t="s">
        <v>1185</v>
      </c>
      <c r="G529" t="s">
        <v>20</v>
      </c>
      <c r="H529">
        <v>5271</v>
      </c>
      <c r="I529">
        <v>0</v>
      </c>
      <c r="J529">
        <v>0</v>
      </c>
      <c r="O529" t="s">
        <v>21</v>
      </c>
      <c r="P529" t="s">
        <v>1186</v>
      </c>
    </row>
    <row r="530" spans="1:16" x14ac:dyDescent="0.3">
      <c r="A530" t="s">
        <v>1187</v>
      </c>
      <c r="C530" t="s">
        <v>17</v>
      </c>
      <c r="D530" t="s">
        <v>408</v>
      </c>
      <c r="E530" t="s">
        <v>409</v>
      </c>
      <c r="G530" t="s">
        <v>20</v>
      </c>
      <c r="H530">
        <v>3000</v>
      </c>
      <c r="I530">
        <v>16.124999999999901</v>
      </c>
      <c r="J530">
        <v>2983.875</v>
      </c>
      <c r="O530" t="s">
        <v>21</v>
      </c>
      <c r="P530" t="s">
        <v>1188</v>
      </c>
    </row>
    <row r="531" spans="1:16" x14ac:dyDescent="0.3">
      <c r="A531" t="s">
        <v>1189</v>
      </c>
      <c r="C531" t="s">
        <v>17</v>
      </c>
      <c r="D531" t="s">
        <v>408</v>
      </c>
      <c r="E531" t="s">
        <v>409</v>
      </c>
      <c r="G531" t="s">
        <v>20</v>
      </c>
      <c r="H531">
        <v>2300</v>
      </c>
      <c r="I531">
        <v>12.362500000000001</v>
      </c>
      <c r="J531">
        <v>2287.6374999999998</v>
      </c>
      <c r="O531" t="s">
        <v>21</v>
      </c>
      <c r="P531" t="s">
        <v>1190</v>
      </c>
    </row>
    <row r="532" spans="1:16" x14ac:dyDescent="0.3">
      <c r="A532" t="e">
        <f>-gXzPA8YmxMGw8wBvUW5l</f>
        <v>#NAME?</v>
      </c>
      <c r="C532" t="s">
        <v>17</v>
      </c>
      <c r="D532" t="s">
        <v>408</v>
      </c>
      <c r="E532" t="s">
        <v>409</v>
      </c>
      <c r="G532" t="s">
        <v>20</v>
      </c>
      <c r="H532">
        <v>6100</v>
      </c>
      <c r="I532">
        <v>32.787500000000001</v>
      </c>
      <c r="J532">
        <v>6067.2124999999996</v>
      </c>
      <c r="O532" t="s">
        <v>21</v>
      </c>
      <c r="P532" t="s">
        <v>1191</v>
      </c>
    </row>
    <row r="533" spans="1:16" x14ac:dyDescent="0.3">
      <c r="A533" t="s">
        <v>1192</v>
      </c>
      <c r="C533" t="s">
        <v>17</v>
      </c>
      <c r="D533" t="s">
        <v>408</v>
      </c>
      <c r="E533" t="s">
        <v>409</v>
      </c>
      <c r="G533" t="s">
        <v>20</v>
      </c>
      <c r="H533">
        <v>3000</v>
      </c>
      <c r="I533">
        <v>16.124999999999901</v>
      </c>
      <c r="J533">
        <v>2983.875</v>
      </c>
      <c r="O533" t="s">
        <v>21</v>
      </c>
      <c r="P533" t="s">
        <v>1193</v>
      </c>
    </row>
    <row r="534" spans="1:16" x14ac:dyDescent="0.3">
      <c r="A534" t="s">
        <v>1194</v>
      </c>
      <c r="C534" t="s">
        <v>17</v>
      </c>
      <c r="D534" t="s">
        <v>1116</v>
      </c>
      <c r="E534" t="s">
        <v>1195</v>
      </c>
      <c r="F534" t="s">
        <v>1196</v>
      </c>
      <c r="G534" t="s">
        <v>20</v>
      </c>
      <c r="H534">
        <v>0</v>
      </c>
      <c r="I534">
        <v>0</v>
      </c>
      <c r="J534">
        <v>0</v>
      </c>
      <c r="O534" t="s">
        <v>21</v>
      </c>
      <c r="P534" t="s">
        <v>1197</v>
      </c>
    </row>
    <row r="535" spans="1:16" x14ac:dyDescent="0.3">
      <c r="A535" t="s">
        <v>1198</v>
      </c>
      <c r="C535" t="s">
        <v>17</v>
      </c>
      <c r="D535" t="s">
        <v>1116</v>
      </c>
      <c r="E535" t="s">
        <v>1117</v>
      </c>
      <c r="F535" t="s">
        <v>1196</v>
      </c>
      <c r="G535" t="s">
        <v>20</v>
      </c>
      <c r="H535">
        <v>0</v>
      </c>
      <c r="I535">
        <v>0</v>
      </c>
      <c r="J535">
        <v>0</v>
      </c>
      <c r="O535" t="s">
        <v>21</v>
      </c>
      <c r="P535" t="s">
        <v>1199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4ECC-3AFA-43DF-9B4C-BDF3F33E495B}">
  <dimension ref="A1:P50"/>
  <sheetViews>
    <sheetView workbookViewId="0">
      <selection activeCell="I11" sqref="I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1200</v>
      </c>
      <c r="B2" s="1" t="s">
        <v>1201</v>
      </c>
      <c r="C2" t="s">
        <v>1202</v>
      </c>
      <c r="D2" t="s">
        <v>1203</v>
      </c>
      <c r="E2" t="s">
        <v>19</v>
      </c>
      <c r="G2" t="s">
        <v>20</v>
      </c>
      <c r="H2">
        <v>36000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1204</v>
      </c>
    </row>
    <row r="3" spans="1:16" x14ac:dyDescent="0.3">
      <c r="A3" t="s">
        <v>1205</v>
      </c>
      <c r="C3" t="s">
        <v>1202</v>
      </c>
      <c r="D3" t="s">
        <v>18</v>
      </c>
      <c r="E3" t="s">
        <v>19</v>
      </c>
      <c r="F3" t="s">
        <v>1206</v>
      </c>
      <c r="G3" t="s">
        <v>20</v>
      </c>
      <c r="H3">
        <v>3995</v>
      </c>
      <c r="I3">
        <v>0</v>
      </c>
      <c r="J3">
        <v>3995</v>
      </c>
      <c r="O3" t="s">
        <v>21</v>
      </c>
      <c r="P3" t="s">
        <v>1207</v>
      </c>
    </row>
    <row r="4" spans="1:16" x14ac:dyDescent="0.3">
      <c r="A4" t="s">
        <v>1208</v>
      </c>
      <c r="C4" t="s">
        <v>1202</v>
      </c>
      <c r="D4" t="s">
        <v>18</v>
      </c>
      <c r="E4" t="s">
        <v>19</v>
      </c>
      <c r="F4" t="s">
        <v>1206</v>
      </c>
      <c r="G4" t="s">
        <v>20</v>
      </c>
      <c r="H4">
        <v>3995</v>
      </c>
      <c r="I4">
        <v>0</v>
      </c>
      <c r="J4">
        <v>3995</v>
      </c>
      <c r="O4" t="s">
        <v>21</v>
      </c>
      <c r="P4" t="s">
        <v>1209</v>
      </c>
    </row>
    <row r="5" spans="1:16" x14ac:dyDescent="0.3">
      <c r="A5" t="s">
        <v>1210</v>
      </c>
      <c r="C5" t="s">
        <v>1202</v>
      </c>
      <c r="D5" t="s">
        <v>404</v>
      </c>
      <c r="E5" t="s">
        <v>19</v>
      </c>
      <c r="F5" t="s">
        <v>1211</v>
      </c>
      <c r="G5" t="s">
        <v>20</v>
      </c>
      <c r="H5">
        <v>39967</v>
      </c>
      <c r="I5">
        <v>0</v>
      </c>
      <c r="J5">
        <v>0</v>
      </c>
      <c r="O5" t="s">
        <v>21</v>
      </c>
      <c r="P5" t="s">
        <v>1212</v>
      </c>
    </row>
    <row r="6" spans="1:16" x14ac:dyDescent="0.3">
      <c r="A6" t="s">
        <v>1213</v>
      </c>
      <c r="C6" t="s">
        <v>1202</v>
      </c>
      <c r="D6" t="s">
        <v>18</v>
      </c>
      <c r="E6" t="s">
        <v>19</v>
      </c>
      <c r="G6" t="s">
        <v>20</v>
      </c>
      <c r="H6">
        <v>39871.5</v>
      </c>
      <c r="I6">
        <v>0</v>
      </c>
      <c r="J6">
        <v>39871.5</v>
      </c>
      <c r="O6" t="s">
        <v>21</v>
      </c>
      <c r="P6" t="s">
        <v>1214</v>
      </c>
    </row>
    <row r="7" spans="1:16" x14ac:dyDescent="0.3">
      <c r="A7" t="s">
        <v>1215</v>
      </c>
      <c r="B7" s="1" t="s">
        <v>1216</v>
      </c>
      <c r="C7" t="s">
        <v>1202</v>
      </c>
      <c r="D7" t="s">
        <v>29</v>
      </c>
      <c r="E7" t="s">
        <v>1217</v>
      </c>
      <c r="F7" t="s">
        <v>1218</v>
      </c>
      <c r="G7" t="s">
        <v>20</v>
      </c>
      <c r="H7">
        <v>40000</v>
      </c>
      <c r="I7">
        <v>32.25</v>
      </c>
      <c r="J7">
        <v>39967.75</v>
      </c>
      <c r="O7" t="s">
        <v>21</v>
      </c>
      <c r="P7" t="s">
        <v>1219</v>
      </c>
    </row>
    <row r="8" spans="1:16" x14ac:dyDescent="0.3">
      <c r="A8" t="s">
        <v>1220</v>
      </c>
      <c r="C8" t="s">
        <v>1202</v>
      </c>
      <c r="D8" t="s">
        <v>18</v>
      </c>
      <c r="E8" t="s">
        <v>19</v>
      </c>
      <c r="G8" t="s">
        <v>20</v>
      </c>
      <c r="H8">
        <v>40071.5</v>
      </c>
      <c r="I8">
        <v>0</v>
      </c>
      <c r="J8">
        <v>40071.5</v>
      </c>
      <c r="O8" t="s">
        <v>21</v>
      </c>
      <c r="P8" t="s">
        <v>1221</v>
      </c>
    </row>
    <row r="9" spans="1:16" x14ac:dyDescent="0.3">
      <c r="A9" t="s">
        <v>1222</v>
      </c>
      <c r="C9" t="s">
        <v>1202</v>
      </c>
      <c r="D9" t="s">
        <v>18</v>
      </c>
      <c r="E9" t="s">
        <v>19</v>
      </c>
      <c r="F9" t="s">
        <v>1206</v>
      </c>
      <c r="G9" t="s">
        <v>20</v>
      </c>
      <c r="H9">
        <v>80000</v>
      </c>
      <c r="I9">
        <v>0</v>
      </c>
      <c r="J9">
        <v>80000</v>
      </c>
      <c r="O9" t="s">
        <v>21</v>
      </c>
      <c r="P9" t="s">
        <v>1223</v>
      </c>
    </row>
    <row r="10" spans="1:16" x14ac:dyDescent="0.3">
      <c r="A10" t="s">
        <v>1224</v>
      </c>
      <c r="C10" t="s">
        <v>1202</v>
      </c>
      <c r="D10" t="s">
        <v>18</v>
      </c>
      <c r="E10" t="s">
        <v>19</v>
      </c>
      <c r="F10" t="s">
        <v>1206</v>
      </c>
      <c r="G10" t="s">
        <v>20</v>
      </c>
      <c r="H10">
        <v>80000</v>
      </c>
      <c r="I10">
        <v>0</v>
      </c>
      <c r="J10">
        <v>80000</v>
      </c>
      <c r="O10" t="s">
        <v>21</v>
      </c>
      <c r="P10" t="s">
        <v>1225</v>
      </c>
    </row>
    <row r="11" spans="1:16" x14ac:dyDescent="0.3">
      <c r="A11" t="s">
        <v>1226</v>
      </c>
      <c r="C11" t="s">
        <v>1202</v>
      </c>
      <c r="D11" t="s">
        <v>404</v>
      </c>
      <c r="E11" t="s">
        <v>19</v>
      </c>
      <c r="F11" t="s">
        <v>1227</v>
      </c>
      <c r="G11" t="s">
        <v>20</v>
      </c>
      <c r="H11">
        <v>39967</v>
      </c>
      <c r="I11">
        <v>0</v>
      </c>
      <c r="J11">
        <v>0</v>
      </c>
      <c r="O11" t="s">
        <v>21</v>
      </c>
      <c r="P11" t="s">
        <v>1228</v>
      </c>
    </row>
    <row r="12" spans="1:16" x14ac:dyDescent="0.3">
      <c r="A12" t="s">
        <v>1229</v>
      </c>
      <c r="B12" s="1" t="s">
        <v>1230</v>
      </c>
      <c r="C12" t="s">
        <v>1202</v>
      </c>
      <c r="D12" t="s">
        <v>29</v>
      </c>
      <c r="E12" t="s">
        <v>1217</v>
      </c>
      <c r="F12" t="s">
        <v>1231</v>
      </c>
      <c r="G12" t="s">
        <v>20</v>
      </c>
      <c r="H12">
        <v>40000</v>
      </c>
      <c r="I12">
        <v>32.25</v>
      </c>
      <c r="J12">
        <v>39967.75</v>
      </c>
      <c r="O12" t="s">
        <v>21</v>
      </c>
      <c r="P12" t="s">
        <v>1232</v>
      </c>
    </row>
    <row r="13" spans="1:16" x14ac:dyDescent="0.3">
      <c r="A13" t="s">
        <v>1233</v>
      </c>
      <c r="C13" t="s">
        <v>1202</v>
      </c>
      <c r="D13" t="s">
        <v>404</v>
      </c>
      <c r="E13" t="s">
        <v>19</v>
      </c>
      <c r="F13" t="s">
        <v>1234</v>
      </c>
      <c r="G13" t="s">
        <v>20</v>
      </c>
      <c r="H13">
        <v>40067</v>
      </c>
      <c r="I13">
        <v>0</v>
      </c>
      <c r="J13">
        <v>0</v>
      </c>
      <c r="O13" t="s">
        <v>21</v>
      </c>
      <c r="P13" t="s">
        <v>1235</v>
      </c>
    </row>
    <row r="14" spans="1:16" x14ac:dyDescent="0.3">
      <c r="A14" t="s">
        <v>1236</v>
      </c>
      <c r="B14" s="1" t="s">
        <v>1237</v>
      </c>
      <c r="C14" t="s">
        <v>1202</v>
      </c>
      <c r="D14" t="s">
        <v>29</v>
      </c>
      <c r="E14" t="s">
        <v>1217</v>
      </c>
      <c r="F14" t="s">
        <v>1238</v>
      </c>
      <c r="G14" t="s">
        <v>20</v>
      </c>
      <c r="H14">
        <v>40100</v>
      </c>
      <c r="I14">
        <v>32.25</v>
      </c>
      <c r="J14">
        <v>40067.75</v>
      </c>
      <c r="O14" t="s">
        <v>21</v>
      </c>
      <c r="P14" t="s">
        <v>1239</v>
      </c>
    </row>
    <row r="15" spans="1:16" x14ac:dyDescent="0.3">
      <c r="A15" t="s">
        <v>1240</v>
      </c>
      <c r="C15" t="s">
        <v>1202</v>
      </c>
      <c r="D15" t="s">
        <v>18</v>
      </c>
      <c r="E15" t="s">
        <v>19</v>
      </c>
      <c r="G15" t="s">
        <v>20</v>
      </c>
      <c r="H15">
        <v>6721.5</v>
      </c>
      <c r="I15">
        <v>0</v>
      </c>
      <c r="J15">
        <v>6721.5</v>
      </c>
      <c r="O15" t="s">
        <v>21</v>
      </c>
      <c r="P15" t="s">
        <v>1241</v>
      </c>
    </row>
    <row r="16" spans="1:16" x14ac:dyDescent="0.3">
      <c r="A16" t="s">
        <v>1242</v>
      </c>
      <c r="C16" t="s">
        <v>1202</v>
      </c>
      <c r="D16" t="s">
        <v>18</v>
      </c>
      <c r="E16" t="s">
        <v>19</v>
      </c>
      <c r="F16" t="s">
        <v>1206</v>
      </c>
      <c r="G16" t="s">
        <v>20</v>
      </c>
      <c r="H16">
        <v>6700</v>
      </c>
      <c r="I16">
        <v>0</v>
      </c>
      <c r="J16">
        <v>6700</v>
      </c>
      <c r="O16" t="s">
        <v>21</v>
      </c>
      <c r="P16" t="s">
        <v>1243</v>
      </c>
    </row>
    <row r="17" spans="1:16" x14ac:dyDescent="0.3">
      <c r="A17" t="s">
        <v>1244</v>
      </c>
      <c r="C17" t="s">
        <v>1202</v>
      </c>
      <c r="D17" t="s">
        <v>18</v>
      </c>
      <c r="E17" t="s">
        <v>19</v>
      </c>
      <c r="F17" t="s">
        <v>1206</v>
      </c>
      <c r="G17" t="s">
        <v>20</v>
      </c>
      <c r="H17">
        <v>6700</v>
      </c>
      <c r="I17">
        <v>0</v>
      </c>
      <c r="J17">
        <v>6700</v>
      </c>
      <c r="O17" t="s">
        <v>21</v>
      </c>
      <c r="P17" t="s">
        <v>1245</v>
      </c>
    </row>
    <row r="18" spans="1:16" x14ac:dyDescent="0.3">
      <c r="A18" t="s">
        <v>1246</v>
      </c>
      <c r="C18" t="s">
        <v>1202</v>
      </c>
      <c r="D18" t="s">
        <v>404</v>
      </c>
      <c r="E18" t="s">
        <v>19</v>
      </c>
      <c r="F18" t="s">
        <v>931</v>
      </c>
      <c r="G18" t="s">
        <v>20</v>
      </c>
      <c r="H18">
        <v>3267</v>
      </c>
      <c r="I18">
        <v>0</v>
      </c>
      <c r="J18">
        <v>0</v>
      </c>
      <c r="O18" t="s">
        <v>21</v>
      </c>
      <c r="P18" t="s">
        <v>1247</v>
      </c>
    </row>
    <row r="19" spans="1:16" x14ac:dyDescent="0.3">
      <c r="A19" t="s">
        <v>1248</v>
      </c>
      <c r="B19" s="1" t="s">
        <v>1249</v>
      </c>
      <c r="C19" t="s">
        <v>1202</v>
      </c>
      <c r="D19" t="s">
        <v>29</v>
      </c>
      <c r="E19" t="s">
        <v>1217</v>
      </c>
      <c r="F19" t="s">
        <v>1250</v>
      </c>
      <c r="G19" t="s">
        <v>20</v>
      </c>
      <c r="H19">
        <v>3300</v>
      </c>
      <c r="I19">
        <v>32.25</v>
      </c>
      <c r="J19">
        <v>3267.75</v>
      </c>
      <c r="O19" t="s">
        <v>21</v>
      </c>
      <c r="P19" t="s">
        <v>1251</v>
      </c>
    </row>
    <row r="20" spans="1:16" x14ac:dyDescent="0.3">
      <c r="A20" t="s">
        <v>1252</v>
      </c>
      <c r="C20" t="s">
        <v>1202</v>
      </c>
      <c r="D20" t="s">
        <v>1116</v>
      </c>
      <c r="E20" t="s">
        <v>1117</v>
      </c>
      <c r="F20" t="s">
        <v>1118</v>
      </c>
      <c r="G20" t="s">
        <v>20</v>
      </c>
      <c r="H20">
        <v>0</v>
      </c>
      <c r="I20">
        <v>0</v>
      </c>
      <c r="J20">
        <v>0</v>
      </c>
      <c r="O20" t="s">
        <v>21</v>
      </c>
      <c r="P20" t="s">
        <v>1253</v>
      </c>
    </row>
    <row r="21" spans="1:16" x14ac:dyDescent="0.3">
      <c r="A21" t="s">
        <v>1254</v>
      </c>
      <c r="C21" t="s">
        <v>1202</v>
      </c>
      <c r="D21" t="s">
        <v>408</v>
      </c>
      <c r="E21" t="s">
        <v>409</v>
      </c>
      <c r="G21" t="s">
        <v>20</v>
      </c>
      <c r="H21">
        <v>2500</v>
      </c>
      <c r="I21" s="1" t="s">
        <v>1255</v>
      </c>
      <c r="J21">
        <v>2486.5625</v>
      </c>
      <c r="O21" t="s">
        <v>412</v>
      </c>
      <c r="P21" t="s">
        <v>1256</v>
      </c>
    </row>
    <row r="22" spans="1:16" x14ac:dyDescent="0.3">
      <c r="A22" t="s">
        <v>1257</v>
      </c>
      <c r="C22" t="s">
        <v>1202</v>
      </c>
      <c r="D22" t="s">
        <v>18</v>
      </c>
      <c r="E22" t="s">
        <v>19</v>
      </c>
      <c r="G22" t="s">
        <v>20</v>
      </c>
      <c r="H22">
        <v>9921.5</v>
      </c>
      <c r="I22">
        <v>0</v>
      </c>
      <c r="J22">
        <v>9921.5</v>
      </c>
      <c r="O22" t="s">
        <v>21</v>
      </c>
      <c r="P22" t="s">
        <v>1258</v>
      </c>
    </row>
    <row r="23" spans="1:16" x14ac:dyDescent="0.3">
      <c r="A23" t="s">
        <v>1259</v>
      </c>
      <c r="C23" t="s">
        <v>1202</v>
      </c>
      <c r="D23" t="s">
        <v>18</v>
      </c>
      <c r="E23" t="s">
        <v>19</v>
      </c>
      <c r="G23" t="s">
        <v>20</v>
      </c>
      <c r="H23">
        <v>9000</v>
      </c>
      <c r="I23">
        <v>0</v>
      </c>
      <c r="J23">
        <v>9000</v>
      </c>
      <c r="O23" t="s">
        <v>21</v>
      </c>
      <c r="P23" t="s">
        <v>1260</v>
      </c>
    </row>
    <row r="24" spans="1:16" x14ac:dyDescent="0.3">
      <c r="A24" t="s">
        <v>1261</v>
      </c>
      <c r="C24" t="s">
        <v>1202</v>
      </c>
      <c r="D24" t="s">
        <v>18</v>
      </c>
      <c r="E24" t="s">
        <v>19</v>
      </c>
      <c r="G24" t="s">
        <v>20</v>
      </c>
      <c r="H24">
        <v>9000</v>
      </c>
      <c r="I24">
        <v>0</v>
      </c>
      <c r="J24">
        <v>9000</v>
      </c>
      <c r="O24" t="s">
        <v>21</v>
      </c>
      <c r="P24" t="s">
        <v>1262</v>
      </c>
    </row>
    <row r="25" spans="1:16" x14ac:dyDescent="0.3">
      <c r="A25" t="s">
        <v>1263</v>
      </c>
      <c r="C25" t="s">
        <v>1202</v>
      </c>
      <c r="D25" t="s">
        <v>404</v>
      </c>
      <c r="E25" t="s">
        <v>19</v>
      </c>
      <c r="F25" t="s">
        <v>1127</v>
      </c>
      <c r="G25" t="s">
        <v>20</v>
      </c>
      <c r="H25">
        <v>994</v>
      </c>
      <c r="I25">
        <v>0</v>
      </c>
      <c r="J25">
        <v>0</v>
      </c>
      <c r="O25" t="s">
        <v>21</v>
      </c>
      <c r="P25" t="s">
        <v>1264</v>
      </c>
    </row>
    <row r="26" spans="1:16" x14ac:dyDescent="0.3">
      <c r="A26" t="s">
        <v>1265</v>
      </c>
      <c r="C26" t="s">
        <v>1202</v>
      </c>
      <c r="D26" t="s">
        <v>408</v>
      </c>
      <c r="E26" t="s">
        <v>409</v>
      </c>
      <c r="G26" t="s">
        <v>20</v>
      </c>
      <c r="H26">
        <v>1000</v>
      </c>
      <c r="I26">
        <v>5.375</v>
      </c>
      <c r="J26">
        <v>994.625</v>
      </c>
      <c r="O26" t="s">
        <v>21</v>
      </c>
      <c r="P26" t="s">
        <v>1266</v>
      </c>
    </row>
    <row r="27" spans="1:16" x14ac:dyDescent="0.3">
      <c r="A27" t="s">
        <v>1267</v>
      </c>
      <c r="C27" t="s">
        <v>1202</v>
      </c>
      <c r="D27" t="s">
        <v>404</v>
      </c>
      <c r="E27" t="s">
        <v>19</v>
      </c>
      <c r="F27" t="s">
        <v>1268</v>
      </c>
      <c r="G27" t="s">
        <v>20</v>
      </c>
      <c r="H27">
        <v>467</v>
      </c>
      <c r="I27">
        <v>0</v>
      </c>
      <c r="J27">
        <v>0</v>
      </c>
      <c r="O27" t="s">
        <v>21</v>
      </c>
      <c r="P27" t="s">
        <v>1269</v>
      </c>
    </row>
    <row r="28" spans="1:16" x14ac:dyDescent="0.3">
      <c r="A28" t="s">
        <v>1270</v>
      </c>
      <c r="B28" s="1" t="s">
        <v>1271</v>
      </c>
      <c r="C28" t="s">
        <v>1202</v>
      </c>
      <c r="D28" t="s">
        <v>29</v>
      </c>
      <c r="E28" t="s">
        <v>1217</v>
      </c>
      <c r="F28" t="s">
        <v>1272</v>
      </c>
      <c r="G28" t="s">
        <v>20</v>
      </c>
      <c r="H28">
        <v>500</v>
      </c>
      <c r="I28">
        <v>32.25</v>
      </c>
      <c r="J28">
        <v>467.75</v>
      </c>
      <c r="O28" t="s">
        <v>21</v>
      </c>
      <c r="P28" t="s">
        <v>1273</v>
      </c>
    </row>
    <row r="29" spans="1:16" x14ac:dyDescent="0.3">
      <c r="A29" t="s">
        <v>1274</v>
      </c>
      <c r="C29" t="s">
        <v>1202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1276</v>
      </c>
    </row>
    <row r="30" spans="1:16" x14ac:dyDescent="0.3">
      <c r="A30" t="s">
        <v>1277</v>
      </c>
      <c r="C30" t="s">
        <v>1202</v>
      </c>
      <c r="D30" t="s">
        <v>404</v>
      </c>
      <c r="E30" t="s">
        <v>19</v>
      </c>
      <c r="F30" t="s">
        <v>1278</v>
      </c>
      <c r="G30" t="s">
        <v>20</v>
      </c>
      <c r="H30">
        <v>6967</v>
      </c>
      <c r="I30">
        <v>0</v>
      </c>
      <c r="J30">
        <v>0</v>
      </c>
      <c r="O30" t="s">
        <v>21</v>
      </c>
      <c r="P30" t="s">
        <v>1279</v>
      </c>
    </row>
    <row r="31" spans="1:16" x14ac:dyDescent="0.3">
      <c r="A31" t="s">
        <v>1280</v>
      </c>
      <c r="B31" s="1" t="s">
        <v>1281</v>
      </c>
      <c r="C31" t="s">
        <v>1202</v>
      </c>
      <c r="D31" t="s">
        <v>29</v>
      </c>
      <c r="E31" t="s">
        <v>1217</v>
      </c>
      <c r="F31" t="s">
        <v>1282</v>
      </c>
      <c r="G31" t="s">
        <v>20</v>
      </c>
      <c r="H31">
        <v>7000</v>
      </c>
      <c r="I31">
        <v>32.25</v>
      </c>
      <c r="J31">
        <v>6967.75</v>
      </c>
      <c r="O31" t="s">
        <v>21</v>
      </c>
      <c r="P31" t="s">
        <v>1283</v>
      </c>
    </row>
    <row r="32" spans="1:16" x14ac:dyDescent="0.3">
      <c r="A32" t="s">
        <v>1284</v>
      </c>
      <c r="C32" t="s">
        <v>1202</v>
      </c>
      <c r="D32" t="s">
        <v>404</v>
      </c>
      <c r="E32" t="s">
        <v>19</v>
      </c>
      <c r="F32" t="s">
        <v>1285</v>
      </c>
      <c r="G32" t="s">
        <v>20</v>
      </c>
      <c r="H32">
        <v>2467</v>
      </c>
      <c r="I32">
        <v>0</v>
      </c>
      <c r="J32">
        <v>0</v>
      </c>
      <c r="O32" t="s">
        <v>21</v>
      </c>
      <c r="P32" t="s">
        <v>1286</v>
      </c>
    </row>
    <row r="33" spans="1:16" x14ac:dyDescent="0.3">
      <c r="A33" t="s">
        <v>1287</v>
      </c>
      <c r="B33" s="1" t="s">
        <v>1288</v>
      </c>
      <c r="C33" t="s">
        <v>1202</v>
      </c>
      <c r="D33" t="s">
        <v>29</v>
      </c>
      <c r="E33" t="s">
        <v>1217</v>
      </c>
      <c r="F33" t="s">
        <v>1289</v>
      </c>
      <c r="G33" t="s">
        <v>20</v>
      </c>
      <c r="H33">
        <v>2500</v>
      </c>
      <c r="I33">
        <v>32.25</v>
      </c>
      <c r="J33">
        <v>2467.75</v>
      </c>
      <c r="O33" t="s">
        <v>21</v>
      </c>
      <c r="P33" t="s">
        <v>1290</v>
      </c>
    </row>
    <row r="34" spans="1:16" x14ac:dyDescent="0.3">
      <c r="A34" t="s">
        <v>1291</v>
      </c>
      <c r="C34" t="s">
        <v>1202</v>
      </c>
      <c r="D34" t="s">
        <v>404</v>
      </c>
      <c r="E34" t="s">
        <v>19</v>
      </c>
      <c r="F34" t="s">
        <v>1292</v>
      </c>
      <c r="G34" t="s">
        <v>20</v>
      </c>
      <c r="H34">
        <v>967</v>
      </c>
      <c r="I34">
        <v>0</v>
      </c>
      <c r="J34">
        <v>0</v>
      </c>
      <c r="O34" t="s">
        <v>21</v>
      </c>
      <c r="P34" t="s">
        <v>1293</v>
      </c>
    </row>
    <row r="35" spans="1:16" x14ac:dyDescent="0.3">
      <c r="A35" t="s">
        <v>1294</v>
      </c>
      <c r="B35" s="1" t="s">
        <v>1295</v>
      </c>
      <c r="C35" t="s">
        <v>1202</v>
      </c>
      <c r="D35" t="s">
        <v>29</v>
      </c>
      <c r="E35" t="s">
        <v>1217</v>
      </c>
      <c r="F35" t="s">
        <v>1296</v>
      </c>
      <c r="G35" t="s">
        <v>20</v>
      </c>
      <c r="H35">
        <v>1000</v>
      </c>
      <c r="I35">
        <v>32.25</v>
      </c>
      <c r="J35">
        <v>967.75</v>
      </c>
      <c r="O35" t="s">
        <v>21</v>
      </c>
      <c r="P35" t="s">
        <v>1297</v>
      </c>
    </row>
    <row r="36" spans="1:16" x14ac:dyDescent="0.3">
      <c r="A36" t="s">
        <v>1298</v>
      </c>
      <c r="C36" t="s">
        <v>1202</v>
      </c>
      <c r="D36" t="s">
        <v>18</v>
      </c>
      <c r="E36" t="s">
        <v>19</v>
      </c>
      <c r="G36" t="s">
        <v>20</v>
      </c>
      <c r="H36">
        <v>12021.5</v>
      </c>
      <c r="I36">
        <v>0</v>
      </c>
      <c r="J36">
        <v>12021.5</v>
      </c>
      <c r="O36" t="s">
        <v>21</v>
      </c>
      <c r="P36" t="s">
        <v>1299</v>
      </c>
    </row>
    <row r="37" spans="1:16" x14ac:dyDescent="0.3">
      <c r="A37" t="s">
        <v>1300</v>
      </c>
      <c r="C37" t="s">
        <v>1202</v>
      </c>
      <c r="D37" t="s">
        <v>18</v>
      </c>
      <c r="E37" t="s">
        <v>19</v>
      </c>
      <c r="G37" t="s">
        <v>20</v>
      </c>
      <c r="H37">
        <v>13000</v>
      </c>
      <c r="I37">
        <v>0</v>
      </c>
      <c r="J37">
        <v>13000</v>
      </c>
      <c r="O37" t="s">
        <v>21</v>
      </c>
      <c r="P37" t="s">
        <v>1301</v>
      </c>
    </row>
    <row r="38" spans="1:16" x14ac:dyDescent="0.3">
      <c r="A38" t="s">
        <v>1302</v>
      </c>
      <c r="C38" t="s">
        <v>1202</v>
      </c>
      <c r="D38" t="s">
        <v>18</v>
      </c>
      <c r="E38" t="s">
        <v>19</v>
      </c>
      <c r="G38" t="s">
        <v>20</v>
      </c>
      <c r="H38">
        <v>13000</v>
      </c>
      <c r="I38">
        <v>0</v>
      </c>
      <c r="J38">
        <v>13000</v>
      </c>
      <c r="O38" t="s">
        <v>21</v>
      </c>
      <c r="P38" t="s">
        <v>1303</v>
      </c>
    </row>
    <row r="39" spans="1:16" x14ac:dyDescent="0.3">
      <c r="A39" t="s">
        <v>1304</v>
      </c>
      <c r="C39" t="s">
        <v>1202</v>
      </c>
      <c r="D39" t="s">
        <v>1116</v>
      </c>
      <c r="E39" t="s">
        <v>1117</v>
      </c>
      <c r="F39" t="s">
        <v>1305</v>
      </c>
      <c r="G39" t="s">
        <v>20</v>
      </c>
      <c r="H39">
        <v>0</v>
      </c>
      <c r="I39">
        <v>0</v>
      </c>
      <c r="J39">
        <v>0</v>
      </c>
      <c r="O39" t="s">
        <v>21</v>
      </c>
      <c r="P39" t="s">
        <v>1306</v>
      </c>
    </row>
    <row r="40" spans="1:16" x14ac:dyDescent="0.3">
      <c r="A40" t="s">
        <v>1307</v>
      </c>
      <c r="C40" t="s">
        <v>1202</v>
      </c>
      <c r="D40" t="s">
        <v>404</v>
      </c>
      <c r="E40" t="s">
        <v>19</v>
      </c>
      <c r="F40" t="s">
        <v>1308</v>
      </c>
      <c r="G40" t="s">
        <v>20</v>
      </c>
      <c r="H40">
        <v>1567</v>
      </c>
      <c r="I40">
        <v>0</v>
      </c>
      <c r="J40">
        <v>0</v>
      </c>
      <c r="O40" t="s">
        <v>21</v>
      </c>
      <c r="P40" t="s">
        <v>1309</v>
      </c>
    </row>
    <row r="41" spans="1:16" x14ac:dyDescent="0.3">
      <c r="A41" t="s">
        <v>1310</v>
      </c>
      <c r="B41" s="1" t="s">
        <v>1311</v>
      </c>
      <c r="C41" t="s">
        <v>1202</v>
      </c>
      <c r="D41" t="s">
        <v>29</v>
      </c>
      <c r="E41" t="s">
        <v>1217</v>
      </c>
      <c r="F41" t="s">
        <v>1312</v>
      </c>
      <c r="G41" t="s">
        <v>20</v>
      </c>
      <c r="H41">
        <v>1600</v>
      </c>
      <c r="I41">
        <v>32.25</v>
      </c>
      <c r="J41">
        <v>1567.75</v>
      </c>
      <c r="O41" t="s">
        <v>21</v>
      </c>
      <c r="P41" t="s">
        <v>1313</v>
      </c>
    </row>
    <row r="42" spans="1:16" x14ac:dyDescent="0.3">
      <c r="A42" t="s">
        <v>1314</v>
      </c>
      <c r="C42" t="s">
        <v>1202</v>
      </c>
      <c r="D42" t="s">
        <v>404</v>
      </c>
      <c r="E42" t="s">
        <v>19</v>
      </c>
      <c r="F42" t="s">
        <v>1315</v>
      </c>
      <c r="G42" t="s">
        <v>20</v>
      </c>
      <c r="H42">
        <v>1667</v>
      </c>
      <c r="I42">
        <v>0</v>
      </c>
      <c r="J42">
        <v>0</v>
      </c>
      <c r="O42" t="s">
        <v>21</v>
      </c>
      <c r="P42" t="s">
        <v>1316</v>
      </c>
    </row>
    <row r="43" spans="1:16" x14ac:dyDescent="0.3">
      <c r="A43" t="s">
        <v>1317</v>
      </c>
      <c r="B43" s="1" t="s">
        <v>1318</v>
      </c>
      <c r="C43" t="s">
        <v>1202</v>
      </c>
      <c r="D43" t="s">
        <v>29</v>
      </c>
      <c r="E43" t="s">
        <v>1217</v>
      </c>
      <c r="F43" t="s">
        <v>1319</v>
      </c>
      <c r="G43" t="s">
        <v>20</v>
      </c>
      <c r="H43">
        <v>1700</v>
      </c>
      <c r="I43">
        <v>32.25</v>
      </c>
      <c r="J43">
        <v>1667.75</v>
      </c>
      <c r="O43" t="s">
        <v>21</v>
      </c>
      <c r="P43" t="s">
        <v>1320</v>
      </c>
    </row>
    <row r="44" spans="1:16" x14ac:dyDescent="0.3">
      <c r="A44" t="s">
        <v>1321</v>
      </c>
      <c r="C44" t="s">
        <v>1202</v>
      </c>
      <c r="D44" t="s">
        <v>404</v>
      </c>
      <c r="E44" t="s">
        <v>19</v>
      </c>
      <c r="F44" t="s">
        <v>1322</v>
      </c>
      <c r="G44" t="s">
        <v>20</v>
      </c>
      <c r="H44">
        <v>1435</v>
      </c>
      <c r="I44">
        <v>0</v>
      </c>
      <c r="J44">
        <v>0</v>
      </c>
      <c r="O44" t="s">
        <v>21</v>
      </c>
      <c r="P44" t="s">
        <v>1323</v>
      </c>
    </row>
    <row r="45" spans="1:16" x14ac:dyDescent="0.3">
      <c r="A45" t="s">
        <v>1324</v>
      </c>
      <c r="B45" s="1" t="s">
        <v>1325</v>
      </c>
      <c r="C45" t="s">
        <v>1202</v>
      </c>
      <c r="D45" t="s">
        <v>29</v>
      </c>
      <c r="E45" t="s">
        <v>1217</v>
      </c>
      <c r="F45" t="s">
        <v>1326</v>
      </c>
      <c r="G45" t="s">
        <v>20</v>
      </c>
      <c r="H45">
        <v>1000</v>
      </c>
      <c r="I45">
        <v>32.25</v>
      </c>
      <c r="J45">
        <v>967.75</v>
      </c>
      <c r="O45" t="s">
        <v>21</v>
      </c>
      <c r="P45" t="s">
        <v>1327</v>
      </c>
    </row>
    <row r="46" spans="1:16" x14ac:dyDescent="0.3">
      <c r="A46" t="s">
        <v>1328</v>
      </c>
      <c r="B46" s="1" t="s">
        <v>1329</v>
      </c>
      <c r="C46" t="s">
        <v>1202</v>
      </c>
      <c r="D46" t="s">
        <v>29</v>
      </c>
      <c r="E46" t="s">
        <v>1217</v>
      </c>
      <c r="F46" t="s">
        <v>1330</v>
      </c>
      <c r="G46" t="s">
        <v>20</v>
      </c>
      <c r="H46">
        <v>500</v>
      </c>
      <c r="I46">
        <v>32.25</v>
      </c>
      <c r="J46">
        <v>467.75</v>
      </c>
      <c r="O46" t="s">
        <v>21</v>
      </c>
      <c r="P46" t="s">
        <v>1331</v>
      </c>
    </row>
    <row r="47" spans="1:16" x14ac:dyDescent="0.3">
      <c r="A47" t="s">
        <v>1332</v>
      </c>
      <c r="B47" s="1" t="s">
        <v>1333</v>
      </c>
      <c r="C47" t="s">
        <v>1202</v>
      </c>
      <c r="D47" t="s">
        <v>29</v>
      </c>
      <c r="E47" t="s">
        <v>1217</v>
      </c>
      <c r="F47" t="s">
        <v>1334</v>
      </c>
      <c r="G47" t="s">
        <v>20</v>
      </c>
      <c r="H47">
        <v>4000</v>
      </c>
      <c r="I47">
        <v>32.25</v>
      </c>
      <c r="J47">
        <v>3967.75</v>
      </c>
      <c r="O47" t="s">
        <v>21</v>
      </c>
      <c r="P47" t="s">
        <v>1335</v>
      </c>
    </row>
    <row r="48" spans="1:16" x14ac:dyDescent="0.3">
      <c r="A48" t="s">
        <v>1336</v>
      </c>
      <c r="B48" s="1" t="s">
        <v>1337</v>
      </c>
      <c r="C48" t="s">
        <v>1202</v>
      </c>
      <c r="D48" t="s">
        <v>29</v>
      </c>
      <c r="E48" t="s">
        <v>1217</v>
      </c>
      <c r="F48" t="s">
        <v>1338</v>
      </c>
      <c r="G48" t="s">
        <v>20</v>
      </c>
      <c r="H48">
        <v>5000</v>
      </c>
      <c r="I48">
        <v>32.25</v>
      </c>
      <c r="J48">
        <v>4967.75</v>
      </c>
      <c r="O48" t="s">
        <v>21</v>
      </c>
      <c r="P48" t="s">
        <v>1339</v>
      </c>
    </row>
    <row r="49" spans="1:16" x14ac:dyDescent="0.3">
      <c r="A49" t="s">
        <v>1340</v>
      </c>
      <c r="C49" t="s">
        <v>1202</v>
      </c>
      <c r="D49" t="s">
        <v>1116</v>
      </c>
      <c r="E49" t="s">
        <v>1195</v>
      </c>
      <c r="F49" t="s">
        <v>1196</v>
      </c>
      <c r="G49" t="s">
        <v>20</v>
      </c>
      <c r="H49">
        <v>0</v>
      </c>
      <c r="I49">
        <v>0</v>
      </c>
      <c r="J49">
        <v>0</v>
      </c>
      <c r="O49" t="s">
        <v>21</v>
      </c>
      <c r="P49" t="s">
        <v>1341</v>
      </c>
    </row>
    <row r="50" spans="1:16" x14ac:dyDescent="0.3">
      <c r="A50" t="s">
        <v>1342</v>
      </c>
      <c r="C50" t="s">
        <v>1202</v>
      </c>
      <c r="D50" t="s">
        <v>1116</v>
      </c>
      <c r="E50" t="s">
        <v>1117</v>
      </c>
      <c r="F50" t="s">
        <v>1196</v>
      </c>
      <c r="G50" t="s">
        <v>20</v>
      </c>
      <c r="H50">
        <v>0</v>
      </c>
      <c r="I50">
        <v>0</v>
      </c>
      <c r="J50">
        <v>0</v>
      </c>
      <c r="O50" t="s">
        <v>21</v>
      </c>
      <c r="P50" t="s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8AE-BF92-4E4C-ADE8-77ABCF715F92}">
  <dimension ref="A1:P501"/>
  <sheetViews>
    <sheetView workbookViewId="0">
      <selection activeCell="K493" sqref="K493"/>
    </sheetView>
  </sheetViews>
  <sheetFormatPr defaultRowHeight="14.4" x14ac:dyDescent="0.3"/>
  <cols>
    <col min="3" max="3" width="2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1344</v>
      </c>
      <c r="B2" s="1" t="s">
        <v>1345</v>
      </c>
      <c r="C2" t="s">
        <v>1346</v>
      </c>
      <c r="D2" t="s">
        <v>1203</v>
      </c>
      <c r="E2" t="s">
        <v>19</v>
      </c>
      <c r="G2" t="s">
        <v>20</v>
      </c>
      <c r="H2">
        <v>10500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1347</v>
      </c>
    </row>
    <row r="3" spans="1:16" x14ac:dyDescent="0.3">
      <c r="A3" t="s">
        <v>1348</v>
      </c>
      <c r="C3" t="s">
        <v>1346</v>
      </c>
      <c r="D3" t="s">
        <v>404</v>
      </c>
      <c r="E3" t="s">
        <v>19</v>
      </c>
      <c r="F3" t="s">
        <v>1349</v>
      </c>
      <c r="G3" t="s">
        <v>20</v>
      </c>
      <c r="H3">
        <v>10145</v>
      </c>
      <c r="I3">
        <v>0</v>
      </c>
      <c r="J3">
        <v>0</v>
      </c>
      <c r="O3" t="s">
        <v>21</v>
      </c>
      <c r="P3" t="s">
        <v>1350</v>
      </c>
    </row>
    <row r="4" spans="1:16" x14ac:dyDescent="0.3">
      <c r="A4" t="s">
        <v>1351</v>
      </c>
      <c r="C4" t="s">
        <v>1346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1352</v>
      </c>
    </row>
    <row r="5" spans="1:16" x14ac:dyDescent="0.3">
      <c r="A5" t="s">
        <v>1353</v>
      </c>
      <c r="B5" s="1" t="s">
        <v>1354</v>
      </c>
      <c r="C5" t="s">
        <v>1346</v>
      </c>
      <c r="D5" t="s">
        <v>1203</v>
      </c>
      <c r="E5" t="s">
        <v>19</v>
      </c>
      <c r="G5" t="s">
        <v>20</v>
      </c>
      <c r="H5">
        <v>54000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1355</v>
      </c>
    </row>
    <row r="6" spans="1:16" x14ac:dyDescent="0.3">
      <c r="A6" t="s">
        <v>1356</v>
      </c>
      <c r="C6" t="s">
        <v>1346</v>
      </c>
      <c r="D6" t="s">
        <v>404</v>
      </c>
      <c r="E6" t="s">
        <v>19</v>
      </c>
      <c r="F6" t="s">
        <v>1357</v>
      </c>
      <c r="G6" t="s">
        <v>20</v>
      </c>
      <c r="H6">
        <v>54333</v>
      </c>
      <c r="I6">
        <v>0</v>
      </c>
      <c r="J6">
        <v>0</v>
      </c>
      <c r="O6" t="s">
        <v>21</v>
      </c>
      <c r="P6" t="s">
        <v>1358</v>
      </c>
    </row>
    <row r="7" spans="1:16" x14ac:dyDescent="0.3">
      <c r="A7" t="s">
        <v>1359</v>
      </c>
      <c r="C7" t="s">
        <v>1346</v>
      </c>
      <c r="D7" t="s">
        <v>408</v>
      </c>
      <c r="E7" t="s">
        <v>409</v>
      </c>
      <c r="G7" t="s">
        <v>20</v>
      </c>
      <c r="H7">
        <v>5000</v>
      </c>
      <c r="I7" s="1" t="s">
        <v>1275</v>
      </c>
      <c r="J7">
        <v>4973.125</v>
      </c>
      <c r="O7" t="s">
        <v>21</v>
      </c>
      <c r="P7" t="s">
        <v>1360</v>
      </c>
    </row>
    <row r="8" spans="1:16" x14ac:dyDescent="0.3">
      <c r="A8" t="s">
        <v>1361</v>
      </c>
      <c r="C8" t="s">
        <v>1346</v>
      </c>
      <c r="D8" t="s">
        <v>408</v>
      </c>
      <c r="E8" t="s">
        <v>409</v>
      </c>
      <c r="G8" t="s">
        <v>20</v>
      </c>
      <c r="H8">
        <v>48500</v>
      </c>
      <c r="I8">
        <v>107.5</v>
      </c>
      <c r="J8">
        <v>48392.5</v>
      </c>
      <c r="O8" t="s">
        <v>21</v>
      </c>
      <c r="P8" t="s">
        <v>1362</v>
      </c>
    </row>
    <row r="9" spans="1:16" x14ac:dyDescent="0.3">
      <c r="A9" t="s">
        <v>1363</v>
      </c>
      <c r="B9" s="1" t="s">
        <v>1364</v>
      </c>
      <c r="C9" t="s">
        <v>1346</v>
      </c>
      <c r="D9" t="s">
        <v>1203</v>
      </c>
      <c r="E9" t="s">
        <v>19</v>
      </c>
      <c r="G9" t="s">
        <v>20</v>
      </c>
      <c r="H9">
        <v>7000</v>
      </c>
      <c r="I9">
        <v>32.25</v>
      </c>
      <c r="J9">
        <v>0</v>
      </c>
      <c r="L9">
        <v>12</v>
      </c>
      <c r="M9">
        <v>2.25</v>
      </c>
      <c r="N9">
        <v>0</v>
      </c>
      <c r="O9" t="s">
        <v>21</v>
      </c>
      <c r="P9" t="s">
        <v>1365</v>
      </c>
    </row>
    <row r="10" spans="1:16" x14ac:dyDescent="0.3">
      <c r="A10" t="s">
        <v>1366</v>
      </c>
      <c r="C10" t="s">
        <v>1346</v>
      </c>
      <c r="D10" t="s">
        <v>408</v>
      </c>
      <c r="E10" t="s">
        <v>409</v>
      </c>
      <c r="G10" t="s">
        <v>20</v>
      </c>
      <c r="H10">
        <v>1000</v>
      </c>
      <c r="I10">
        <v>5.375</v>
      </c>
      <c r="J10">
        <v>994.625</v>
      </c>
      <c r="O10" t="s">
        <v>412</v>
      </c>
      <c r="P10" t="s">
        <v>1367</v>
      </c>
    </row>
    <row r="11" spans="1:16" x14ac:dyDescent="0.3">
      <c r="A11" t="s">
        <v>1368</v>
      </c>
      <c r="B11" s="1" t="s">
        <v>1369</v>
      </c>
      <c r="C11" t="s">
        <v>1346</v>
      </c>
      <c r="D11" t="s">
        <v>29</v>
      </c>
      <c r="E11" t="s">
        <v>1217</v>
      </c>
      <c r="F11" t="s">
        <v>1370</v>
      </c>
      <c r="G11" t="s">
        <v>20</v>
      </c>
      <c r="H11">
        <v>1000</v>
      </c>
      <c r="I11">
        <v>32.25</v>
      </c>
      <c r="J11">
        <v>967.75</v>
      </c>
      <c r="O11" t="s">
        <v>21</v>
      </c>
      <c r="P11" t="s">
        <v>1371</v>
      </c>
    </row>
    <row r="12" spans="1:16" x14ac:dyDescent="0.3">
      <c r="A12" t="s">
        <v>1372</v>
      </c>
      <c r="C12" t="s">
        <v>1346</v>
      </c>
      <c r="D12" t="s">
        <v>404</v>
      </c>
      <c r="E12" t="s">
        <v>19</v>
      </c>
      <c r="F12" t="s">
        <v>1227</v>
      </c>
      <c r="G12" t="s">
        <v>20</v>
      </c>
      <c r="H12">
        <v>4177</v>
      </c>
      <c r="I12">
        <v>0</v>
      </c>
      <c r="J12">
        <v>0</v>
      </c>
      <c r="O12" t="s">
        <v>21</v>
      </c>
      <c r="P12" t="s">
        <v>1373</v>
      </c>
    </row>
    <row r="13" spans="1:16" x14ac:dyDescent="0.3">
      <c r="A13" t="s">
        <v>1374</v>
      </c>
      <c r="C13" t="s">
        <v>1346</v>
      </c>
      <c r="D13" t="s">
        <v>408</v>
      </c>
      <c r="E13" t="s">
        <v>409</v>
      </c>
      <c r="G13" t="s">
        <v>20</v>
      </c>
      <c r="H13">
        <v>1100</v>
      </c>
      <c r="I13">
        <v>5.9124999999999996</v>
      </c>
      <c r="J13">
        <v>1094.0875000000001</v>
      </c>
      <c r="O13" t="s">
        <v>21</v>
      </c>
      <c r="P13" t="s">
        <v>1375</v>
      </c>
    </row>
    <row r="14" spans="1:16" x14ac:dyDescent="0.3">
      <c r="A14" t="s">
        <v>1376</v>
      </c>
      <c r="C14" t="s">
        <v>1346</v>
      </c>
      <c r="D14" t="s">
        <v>408</v>
      </c>
      <c r="E14" t="s">
        <v>409</v>
      </c>
      <c r="G14" t="s">
        <v>20</v>
      </c>
      <c r="H14">
        <v>3100</v>
      </c>
      <c r="I14">
        <v>16.662500000000001</v>
      </c>
      <c r="J14">
        <v>3083.3375000000001</v>
      </c>
      <c r="O14" t="s">
        <v>21</v>
      </c>
      <c r="P14" t="s">
        <v>1377</v>
      </c>
    </row>
    <row r="15" spans="1:16" x14ac:dyDescent="0.3">
      <c r="A15" t="s">
        <v>1378</v>
      </c>
      <c r="C15" t="s">
        <v>1346</v>
      </c>
      <c r="D15" t="s">
        <v>404</v>
      </c>
      <c r="E15" t="s">
        <v>19</v>
      </c>
      <c r="F15" t="s">
        <v>1234</v>
      </c>
      <c r="G15" t="s">
        <v>20</v>
      </c>
      <c r="H15">
        <v>2983</v>
      </c>
      <c r="I15">
        <v>0</v>
      </c>
      <c r="J15">
        <v>0</v>
      </c>
      <c r="O15" t="s">
        <v>21</v>
      </c>
      <c r="P15" t="s">
        <v>1379</v>
      </c>
    </row>
    <row r="16" spans="1:16" x14ac:dyDescent="0.3">
      <c r="A16" t="s">
        <v>1380</v>
      </c>
      <c r="B16" s="1" t="s">
        <v>1381</v>
      </c>
      <c r="C16" t="s">
        <v>1346</v>
      </c>
      <c r="D16" t="s">
        <v>1203</v>
      </c>
      <c r="E16" t="s">
        <v>19</v>
      </c>
      <c r="G16" t="s">
        <v>20</v>
      </c>
      <c r="H16">
        <v>8000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1382</v>
      </c>
    </row>
    <row r="17" spans="1:16" x14ac:dyDescent="0.3">
      <c r="A17" t="s">
        <v>1383</v>
      </c>
      <c r="C17" t="s">
        <v>1346</v>
      </c>
      <c r="D17" t="s">
        <v>408</v>
      </c>
      <c r="E17" t="s">
        <v>409</v>
      </c>
      <c r="G17" t="s">
        <v>20</v>
      </c>
      <c r="H17">
        <v>1000</v>
      </c>
      <c r="I17">
        <v>5.375</v>
      </c>
      <c r="J17">
        <v>994.625</v>
      </c>
      <c r="O17" t="s">
        <v>21</v>
      </c>
      <c r="P17" t="s">
        <v>1384</v>
      </c>
    </row>
    <row r="18" spans="1:16" x14ac:dyDescent="0.3">
      <c r="A18" t="s">
        <v>1385</v>
      </c>
      <c r="C18" t="s">
        <v>1346</v>
      </c>
      <c r="D18" t="s">
        <v>408</v>
      </c>
      <c r="E18" t="s">
        <v>409</v>
      </c>
      <c r="G18" t="s">
        <v>20</v>
      </c>
      <c r="H18">
        <v>2000</v>
      </c>
      <c r="I18">
        <v>10.75</v>
      </c>
      <c r="J18">
        <v>1989.25</v>
      </c>
      <c r="O18" t="s">
        <v>21</v>
      </c>
      <c r="P18" t="s">
        <v>1386</v>
      </c>
    </row>
    <row r="19" spans="1:16" x14ac:dyDescent="0.3">
      <c r="A19" t="s">
        <v>1387</v>
      </c>
      <c r="C19" t="s">
        <v>1346</v>
      </c>
      <c r="D19" t="s">
        <v>404</v>
      </c>
      <c r="E19" t="s">
        <v>19</v>
      </c>
      <c r="F19" t="s">
        <v>1388</v>
      </c>
      <c r="G19" t="s">
        <v>20</v>
      </c>
      <c r="H19">
        <v>8056</v>
      </c>
      <c r="I19">
        <v>0</v>
      </c>
      <c r="J19">
        <v>0</v>
      </c>
      <c r="O19" t="s">
        <v>21</v>
      </c>
      <c r="P19" t="s">
        <v>1389</v>
      </c>
    </row>
    <row r="20" spans="1:16" x14ac:dyDescent="0.3">
      <c r="A20" t="s">
        <v>1390</v>
      </c>
      <c r="C20" t="s">
        <v>1346</v>
      </c>
      <c r="D20" t="s">
        <v>408</v>
      </c>
      <c r="E20" t="s">
        <v>409</v>
      </c>
      <c r="G20" t="s">
        <v>20</v>
      </c>
      <c r="H20">
        <v>5100</v>
      </c>
      <c r="I20">
        <v>27.412500000000001</v>
      </c>
      <c r="J20">
        <v>5072.5874999999996</v>
      </c>
      <c r="O20" t="s">
        <v>21</v>
      </c>
      <c r="P20" t="s">
        <v>1391</v>
      </c>
    </row>
    <row r="21" spans="1:16" x14ac:dyDescent="0.3">
      <c r="A21" t="s">
        <v>1392</v>
      </c>
      <c r="C21" t="s">
        <v>1346</v>
      </c>
      <c r="D21" t="s">
        <v>408</v>
      </c>
      <c r="E21" t="s">
        <v>409</v>
      </c>
      <c r="G21" t="s">
        <v>20</v>
      </c>
      <c r="H21">
        <v>3000</v>
      </c>
      <c r="I21" s="1" t="s">
        <v>1393</v>
      </c>
      <c r="J21">
        <v>2983.875</v>
      </c>
      <c r="O21" t="s">
        <v>21</v>
      </c>
      <c r="P21" t="s">
        <v>1394</v>
      </c>
    </row>
    <row r="22" spans="1:16" x14ac:dyDescent="0.3">
      <c r="A22" t="s">
        <v>1395</v>
      </c>
      <c r="B22" s="1" t="s">
        <v>1396</v>
      </c>
      <c r="C22" t="s">
        <v>1346</v>
      </c>
      <c r="D22" t="s">
        <v>1203</v>
      </c>
      <c r="E22" t="s">
        <v>19</v>
      </c>
      <c r="G22" t="s">
        <v>20</v>
      </c>
      <c r="H22">
        <v>50000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1397</v>
      </c>
    </row>
    <row r="23" spans="1:16" x14ac:dyDescent="0.3">
      <c r="A23" t="s">
        <v>1398</v>
      </c>
      <c r="C23" t="s">
        <v>1346</v>
      </c>
      <c r="D23" t="s">
        <v>404</v>
      </c>
      <c r="E23" t="s">
        <v>19</v>
      </c>
      <c r="F23" t="s">
        <v>1399</v>
      </c>
      <c r="G23" t="s">
        <v>20</v>
      </c>
      <c r="H23">
        <v>49967</v>
      </c>
      <c r="I23">
        <v>0</v>
      </c>
      <c r="J23">
        <v>0</v>
      </c>
      <c r="O23" t="s">
        <v>21</v>
      </c>
      <c r="P23" t="s">
        <v>1400</v>
      </c>
    </row>
    <row r="24" spans="1:16" x14ac:dyDescent="0.3">
      <c r="A24" t="s">
        <v>1401</v>
      </c>
      <c r="B24" s="1" t="s">
        <v>1402</v>
      </c>
      <c r="C24" t="s">
        <v>1346</v>
      </c>
      <c r="D24" t="s">
        <v>29</v>
      </c>
      <c r="E24" t="s">
        <v>1217</v>
      </c>
      <c r="F24" t="s">
        <v>1403</v>
      </c>
      <c r="G24" t="s">
        <v>20</v>
      </c>
      <c r="H24">
        <v>50000</v>
      </c>
      <c r="I24">
        <v>32.25</v>
      </c>
      <c r="J24">
        <v>49967.75</v>
      </c>
      <c r="O24" t="s">
        <v>21</v>
      </c>
      <c r="P24" t="s">
        <v>1404</v>
      </c>
    </row>
    <row r="25" spans="1:16" x14ac:dyDescent="0.3">
      <c r="A25" t="s">
        <v>1405</v>
      </c>
      <c r="B25" s="1" t="s">
        <v>1406</v>
      </c>
      <c r="C25" t="s">
        <v>1346</v>
      </c>
      <c r="D25" t="s">
        <v>1203</v>
      </c>
      <c r="E25" t="s">
        <v>19</v>
      </c>
      <c r="G25" t="s">
        <v>20</v>
      </c>
      <c r="H25">
        <v>50000</v>
      </c>
      <c r="I25">
        <v>32.25</v>
      </c>
      <c r="J25">
        <v>0</v>
      </c>
      <c r="L25">
        <v>12</v>
      </c>
      <c r="M25">
        <v>2.25</v>
      </c>
      <c r="N25">
        <v>0</v>
      </c>
      <c r="O25" t="s">
        <v>21</v>
      </c>
      <c r="P25" t="s">
        <v>1407</v>
      </c>
    </row>
    <row r="26" spans="1:16" x14ac:dyDescent="0.3">
      <c r="A26" t="s">
        <v>1408</v>
      </c>
      <c r="C26" t="s">
        <v>1346</v>
      </c>
      <c r="D26" t="s">
        <v>404</v>
      </c>
      <c r="E26" t="s">
        <v>19</v>
      </c>
      <c r="F26" t="s">
        <v>1409</v>
      </c>
      <c r="G26" t="s">
        <v>20</v>
      </c>
      <c r="H26">
        <v>49967</v>
      </c>
      <c r="I26">
        <v>0</v>
      </c>
      <c r="J26">
        <v>0</v>
      </c>
      <c r="O26" t="s">
        <v>21</v>
      </c>
      <c r="P26" t="s">
        <v>1410</v>
      </c>
    </row>
    <row r="27" spans="1:16" x14ac:dyDescent="0.3">
      <c r="A27" t="s">
        <v>1411</v>
      </c>
      <c r="B27" s="1" t="s">
        <v>1412</v>
      </c>
      <c r="C27" t="s">
        <v>1346</v>
      </c>
      <c r="D27" t="s">
        <v>29</v>
      </c>
      <c r="E27" t="s">
        <v>1217</v>
      </c>
      <c r="F27" t="s">
        <v>1413</v>
      </c>
      <c r="G27" t="s">
        <v>20</v>
      </c>
      <c r="H27">
        <v>50000</v>
      </c>
      <c r="I27">
        <v>32.25</v>
      </c>
      <c r="J27">
        <v>49967.75</v>
      </c>
      <c r="O27" t="s">
        <v>21</v>
      </c>
      <c r="P27" t="s">
        <v>1414</v>
      </c>
    </row>
    <row r="28" spans="1:16" x14ac:dyDescent="0.3">
      <c r="A28" t="s">
        <v>1415</v>
      </c>
      <c r="B28" s="1" t="s">
        <v>1416</v>
      </c>
      <c r="C28" t="s">
        <v>1346</v>
      </c>
      <c r="D28" t="s">
        <v>1203</v>
      </c>
      <c r="E28" t="s">
        <v>19</v>
      </c>
      <c r="G28" t="s">
        <v>20</v>
      </c>
      <c r="H28">
        <v>600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1417</v>
      </c>
    </row>
    <row r="29" spans="1:16" x14ac:dyDescent="0.3">
      <c r="A29" t="s">
        <v>1418</v>
      </c>
      <c r="B29" s="1" t="s">
        <v>1419</v>
      </c>
      <c r="C29" t="s">
        <v>1346</v>
      </c>
      <c r="D29" t="s">
        <v>1203</v>
      </c>
      <c r="E29" t="s">
        <v>19</v>
      </c>
      <c r="G29" t="s">
        <v>20</v>
      </c>
      <c r="H29">
        <v>6000</v>
      </c>
      <c r="I29">
        <v>32.25</v>
      </c>
      <c r="J29">
        <v>0</v>
      </c>
      <c r="L29">
        <v>12</v>
      </c>
      <c r="M29">
        <v>2.25</v>
      </c>
      <c r="N29">
        <v>0</v>
      </c>
      <c r="O29" t="s">
        <v>21</v>
      </c>
      <c r="P29" t="s">
        <v>1420</v>
      </c>
    </row>
    <row r="30" spans="1:16" x14ac:dyDescent="0.3">
      <c r="A30" t="s">
        <v>1421</v>
      </c>
      <c r="C30" t="s">
        <v>1346</v>
      </c>
      <c r="D30" t="s">
        <v>404</v>
      </c>
      <c r="E30" t="s">
        <v>19</v>
      </c>
      <c r="F30" t="s">
        <v>1422</v>
      </c>
      <c r="G30" t="s">
        <v>20</v>
      </c>
      <c r="H30">
        <v>6166</v>
      </c>
      <c r="I30">
        <v>0</v>
      </c>
      <c r="J30">
        <v>0</v>
      </c>
      <c r="O30" t="s">
        <v>21</v>
      </c>
      <c r="P30" t="s">
        <v>1423</v>
      </c>
    </row>
    <row r="31" spans="1:16" x14ac:dyDescent="0.3">
      <c r="A31" t="s">
        <v>1424</v>
      </c>
      <c r="C31" t="s">
        <v>1346</v>
      </c>
      <c r="D31" t="s">
        <v>408</v>
      </c>
      <c r="E31" t="s">
        <v>409</v>
      </c>
      <c r="G31" t="s">
        <v>20</v>
      </c>
      <c r="H31">
        <v>3100</v>
      </c>
      <c r="I31">
        <v>16.662500000000001</v>
      </c>
      <c r="J31">
        <v>3083.3375000000001</v>
      </c>
      <c r="O31" t="s">
        <v>21</v>
      </c>
      <c r="P31" t="s">
        <v>1425</v>
      </c>
    </row>
    <row r="32" spans="1:16" x14ac:dyDescent="0.3">
      <c r="A32" t="s">
        <v>1426</v>
      </c>
      <c r="C32" t="s">
        <v>1346</v>
      </c>
      <c r="D32" t="s">
        <v>408</v>
      </c>
      <c r="E32" t="s">
        <v>409</v>
      </c>
      <c r="G32" t="s">
        <v>20</v>
      </c>
      <c r="H32">
        <v>3100</v>
      </c>
      <c r="I32">
        <v>16.662500000000001</v>
      </c>
      <c r="J32">
        <v>3083.3375000000001</v>
      </c>
      <c r="O32" t="s">
        <v>21</v>
      </c>
      <c r="P32" t="s">
        <v>1427</v>
      </c>
    </row>
    <row r="33" spans="1:16" x14ac:dyDescent="0.3">
      <c r="A33" t="s">
        <v>1428</v>
      </c>
      <c r="B33" s="1" t="s">
        <v>1429</v>
      </c>
      <c r="C33" t="s">
        <v>1346</v>
      </c>
      <c r="D33" t="s">
        <v>1203</v>
      </c>
      <c r="E33" t="s">
        <v>19</v>
      </c>
      <c r="G33" t="s">
        <v>20</v>
      </c>
      <c r="H33">
        <v>3000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1430</v>
      </c>
    </row>
    <row r="34" spans="1:16" x14ac:dyDescent="0.3">
      <c r="A34" t="s">
        <v>1431</v>
      </c>
      <c r="C34" t="s">
        <v>1346</v>
      </c>
      <c r="D34" t="s">
        <v>408</v>
      </c>
      <c r="E34" t="s">
        <v>409</v>
      </c>
      <c r="G34" t="s">
        <v>20</v>
      </c>
      <c r="H34">
        <v>10000</v>
      </c>
      <c r="I34" s="1" t="s">
        <v>1432</v>
      </c>
      <c r="J34">
        <v>9946.25</v>
      </c>
      <c r="O34" t="s">
        <v>412</v>
      </c>
      <c r="P34" t="s">
        <v>1433</v>
      </c>
    </row>
    <row r="35" spans="1:16" x14ac:dyDescent="0.3">
      <c r="A35" t="s">
        <v>1434</v>
      </c>
      <c r="C35" t="s">
        <v>1346</v>
      </c>
      <c r="D35" t="s">
        <v>404</v>
      </c>
      <c r="E35" t="s">
        <v>19</v>
      </c>
      <c r="F35" t="s">
        <v>1435</v>
      </c>
      <c r="G35" t="s">
        <v>20</v>
      </c>
      <c r="H35">
        <v>2983</v>
      </c>
      <c r="I35">
        <v>0</v>
      </c>
      <c r="J35">
        <v>0</v>
      </c>
      <c r="O35" t="s">
        <v>21</v>
      </c>
      <c r="P35" t="s">
        <v>1436</v>
      </c>
    </row>
    <row r="36" spans="1:16" x14ac:dyDescent="0.3">
      <c r="A36" t="s">
        <v>1437</v>
      </c>
      <c r="C36" t="s">
        <v>1346</v>
      </c>
      <c r="D36" t="s">
        <v>408</v>
      </c>
      <c r="E36" t="s">
        <v>409</v>
      </c>
      <c r="G36" t="s">
        <v>20</v>
      </c>
      <c r="H36">
        <v>3000</v>
      </c>
      <c r="I36" s="1" t="s">
        <v>1393</v>
      </c>
      <c r="J36">
        <v>2983.875</v>
      </c>
      <c r="O36" t="s">
        <v>21</v>
      </c>
      <c r="P36" t="s">
        <v>1438</v>
      </c>
    </row>
    <row r="37" spans="1:16" x14ac:dyDescent="0.3">
      <c r="A37" t="s">
        <v>1439</v>
      </c>
      <c r="B37" s="1" t="s">
        <v>1440</v>
      </c>
      <c r="C37" t="s">
        <v>1346</v>
      </c>
      <c r="D37" t="s">
        <v>1203</v>
      </c>
      <c r="E37" t="s">
        <v>19</v>
      </c>
      <c r="G37" t="s">
        <v>20</v>
      </c>
      <c r="H37">
        <v>8000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1441</v>
      </c>
    </row>
    <row r="38" spans="1:16" x14ac:dyDescent="0.3">
      <c r="A38" t="s">
        <v>1442</v>
      </c>
      <c r="C38" t="s">
        <v>1346</v>
      </c>
      <c r="D38" t="s">
        <v>404</v>
      </c>
      <c r="E38" t="s">
        <v>19</v>
      </c>
      <c r="F38" t="s">
        <v>1443</v>
      </c>
      <c r="G38" t="s">
        <v>20</v>
      </c>
      <c r="H38">
        <v>8155</v>
      </c>
      <c r="I38">
        <v>0</v>
      </c>
      <c r="J38">
        <v>0</v>
      </c>
      <c r="O38" t="s">
        <v>21</v>
      </c>
      <c r="P38" t="s">
        <v>1444</v>
      </c>
    </row>
    <row r="39" spans="1:16" x14ac:dyDescent="0.3">
      <c r="A39" t="s">
        <v>1445</v>
      </c>
      <c r="C39" t="s">
        <v>1346</v>
      </c>
      <c r="D39" t="s">
        <v>408</v>
      </c>
      <c r="E39" t="s">
        <v>409</v>
      </c>
      <c r="G39" t="s">
        <v>20</v>
      </c>
      <c r="H39">
        <v>8200</v>
      </c>
      <c r="I39">
        <v>44.075000000000003</v>
      </c>
      <c r="J39">
        <v>8155.9250000000002</v>
      </c>
      <c r="O39" t="s">
        <v>21</v>
      </c>
      <c r="P39" t="s">
        <v>1446</v>
      </c>
    </row>
    <row r="40" spans="1:16" x14ac:dyDescent="0.3">
      <c r="A40" t="s">
        <v>1447</v>
      </c>
      <c r="B40" s="1" t="s">
        <v>1448</v>
      </c>
      <c r="C40" t="s">
        <v>1346</v>
      </c>
      <c r="D40" t="s">
        <v>1203</v>
      </c>
      <c r="E40" t="s">
        <v>19</v>
      </c>
      <c r="G40" t="s">
        <v>20</v>
      </c>
      <c r="H40">
        <v>39000</v>
      </c>
      <c r="I40">
        <v>32.25</v>
      </c>
      <c r="J40">
        <v>0</v>
      </c>
      <c r="L40">
        <v>12</v>
      </c>
      <c r="M40">
        <v>2.25</v>
      </c>
      <c r="N40">
        <v>0</v>
      </c>
      <c r="O40" t="s">
        <v>21</v>
      </c>
      <c r="P40" t="s">
        <v>1449</v>
      </c>
    </row>
    <row r="41" spans="1:16" x14ac:dyDescent="0.3">
      <c r="A41" t="s">
        <v>1450</v>
      </c>
      <c r="C41" t="s">
        <v>1346</v>
      </c>
      <c r="D41" t="s">
        <v>1203</v>
      </c>
      <c r="E41" t="s">
        <v>19</v>
      </c>
      <c r="G41" t="s">
        <v>20</v>
      </c>
      <c r="H41">
        <v>39000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412</v>
      </c>
      <c r="P41" t="s">
        <v>1451</v>
      </c>
    </row>
    <row r="42" spans="1:16" x14ac:dyDescent="0.3">
      <c r="A42" t="s">
        <v>1452</v>
      </c>
      <c r="C42" t="s">
        <v>1346</v>
      </c>
      <c r="D42" t="s">
        <v>404</v>
      </c>
      <c r="E42" t="s">
        <v>19</v>
      </c>
      <c r="F42" t="s">
        <v>1453</v>
      </c>
      <c r="G42" t="s">
        <v>20</v>
      </c>
      <c r="H42">
        <v>15217</v>
      </c>
      <c r="I42">
        <v>0</v>
      </c>
      <c r="J42">
        <v>0</v>
      </c>
      <c r="O42" t="s">
        <v>21</v>
      </c>
      <c r="P42" t="s">
        <v>1454</v>
      </c>
    </row>
    <row r="43" spans="1:16" x14ac:dyDescent="0.3">
      <c r="A43" t="s">
        <v>1455</v>
      </c>
      <c r="C43" t="s">
        <v>1346</v>
      </c>
      <c r="D43" t="s">
        <v>408</v>
      </c>
      <c r="E43" t="s">
        <v>409</v>
      </c>
      <c r="G43" t="s">
        <v>20</v>
      </c>
      <c r="H43">
        <v>5000</v>
      </c>
      <c r="I43" s="1" t="s">
        <v>1275</v>
      </c>
      <c r="J43">
        <v>4973.125</v>
      </c>
      <c r="O43" t="s">
        <v>412</v>
      </c>
      <c r="P43" t="s">
        <v>1456</v>
      </c>
    </row>
    <row r="44" spans="1:16" x14ac:dyDescent="0.3">
      <c r="A44" t="s">
        <v>1457</v>
      </c>
      <c r="C44" t="s">
        <v>1346</v>
      </c>
      <c r="D44" t="s">
        <v>408</v>
      </c>
      <c r="E44" t="s">
        <v>409</v>
      </c>
      <c r="G44" t="s">
        <v>20</v>
      </c>
      <c r="H44">
        <v>5000</v>
      </c>
      <c r="I44" s="1" t="s">
        <v>1275</v>
      </c>
      <c r="J44">
        <v>4973.125</v>
      </c>
      <c r="O44" t="s">
        <v>412</v>
      </c>
      <c r="P44" t="s">
        <v>1458</v>
      </c>
    </row>
    <row r="45" spans="1:16" x14ac:dyDescent="0.3">
      <c r="A45" t="s">
        <v>1459</v>
      </c>
      <c r="C45" t="s">
        <v>1346</v>
      </c>
      <c r="D45" t="s">
        <v>408</v>
      </c>
      <c r="E45" t="s">
        <v>409</v>
      </c>
      <c r="G45" t="s">
        <v>20</v>
      </c>
      <c r="H45">
        <v>10000</v>
      </c>
      <c r="I45" s="1" t="s">
        <v>1432</v>
      </c>
      <c r="J45">
        <v>9946.25</v>
      </c>
      <c r="O45" t="s">
        <v>412</v>
      </c>
      <c r="P45" t="s">
        <v>1460</v>
      </c>
    </row>
    <row r="46" spans="1:16" x14ac:dyDescent="0.3">
      <c r="A46" t="s">
        <v>1461</v>
      </c>
      <c r="C46" t="s">
        <v>1346</v>
      </c>
      <c r="D46" t="s">
        <v>408</v>
      </c>
      <c r="E46" t="s">
        <v>409</v>
      </c>
      <c r="G46" t="s">
        <v>20</v>
      </c>
      <c r="H46">
        <v>10000</v>
      </c>
      <c r="I46" s="1" t="s">
        <v>1432</v>
      </c>
      <c r="J46">
        <v>9946.25</v>
      </c>
      <c r="O46" t="s">
        <v>412</v>
      </c>
      <c r="P46" t="s">
        <v>1462</v>
      </c>
    </row>
    <row r="47" spans="1:16" x14ac:dyDescent="0.3">
      <c r="A47" t="s">
        <v>1463</v>
      </c>
      <c r="C47" t="s">
        <v>1346</v>
      </c>
      <c r="D47" t="s">
        <v>408</v>
      </c>
      <c r="E47" t="s">
        <v>409</v>
      </c>
      <c r="G47" t="s">
        <v>20</v>
      </c>
      <c r="H47">
        <v>10000</v>
      </c>
      <c r="I47" s="1" t="s">
        <v>1432</v>
      </c>
      <c r="J47">
        <v>9946.25</v>
      </c>
      <c r="O47" t="s">
        <v>412</v>
      </c>
      <c r="P47" t="s">
        <v>1464</v>
      </c>
    </row>
    <row r="48" spans="1:16" x14ac:dyDescent="0.3">
      <c r="A48" t="s">
        <v>1465</v>
      </c>
      <c r="C48" t="s">
        <v>1346</v>
      </c>
      <c r="D48" t="s">
        <v>1203</v>
      </c>
      <c r="E48" t="s">
        <v>19</v>
      </c>
      <c r="G48" t="s">
        <v>20</v>
      </c>
      <c r="H48">
        <v>24000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412</v>
      </c>
      <c r="P48" t="s">
        <v>1466</v>
      </c>
    </row>
    <row r="49" spans="1:16" x14ac:dyDescent="0.3">
      <c r="A49" t="s">
        <v>1467</v>
      </c>
      <c r="C49" t="s">
        <v>1346</v>
      </c>
      <c r="D49" t="s">
        <v>18</v>
      </c>
      <c r="E49" t="s">
        <v>19</v>
      </c>
      <c r="G49" t="s">
        <v>20</v>
      </c>
      <c r="H49">
        <v>40071.5</v>
      </c>
      <c r="I49">
        <v>0</v>
      </c>
      <c r="J49">
        <v>40071.5</v>
      </c>
      <c r="O49" t="s">
        <v>21</v>
      </c>
      <c r="P49" t="s">
        <v>1468</v>
      </c>
    </row>
    <row r="50" spans="1:16" x14ac:dyDescent="0.3">
      <c r="A50" t="s">
        <v>1469</v>
      </c>
      <c r="C50" t="s">
        <v>1346</v>
      </c>
      <c r="D50" t="s">
        <v>408</v>
      </c>
      <c r="E50" t="s">
        <v>409</v>
      </c>
      <c r="G50" t="s">
        <v>20</v>
      </c>
      <c r="H50">
        <v>10200</v>
      </c>
      <c r="I50">
        <v>54.825000000000003</v>
      </c>
      <c r="J50">
        <v>10145.174999999999</v>
      </c>
      <c r="O50" t="s">
        <v>21</v>
      </c>
      <c r="P50" t="s">
        <v>1470</v>
      </c>
    </row>
    <row r="51" spans="1:16" x14ac:dyDescent="0.3">
      <c r="A51" t="s">
        <v>1471</v>
      </c>
      <c r="C51" t="s">
        <v>1346</v>
      </c>
      <c r="D51" t="s">
        <v>408</v>
      </c>
      <c r="E51" t="s">
        <v>409</v>
      </c>
      <c r="G51" t="s">
        <v>20</v>
      </c>
      <c r="H51">
        <v>5100</v>
      </c>
      <c r="I51">
        <v>27.412500000000001</v>
      </c>
      <c r="J51">
        <v>5072.5874999999996</v>
      </c>
      <c r="O51" t="s">
        <v>21</v>
      </c>
      <c r="P51" t="s">
        <v>1472</v>
      </c>
    </row>
    <row r="52" spans="1:16" x14ac:dyDescent="0.3">
      <c r="A52" t="s">
        <v>1473</v>
      </c>
      <c r="C52" t="s">
        <v>1346</v>
      </c>
      <c r="D52" t="s">
        <v>404</v>
      </c>
      <c r="E52" t="s">
        <v>19</v>
      </c>
      <c r="F52" t="s">
        <v>1474</v>
      </c>
      <c r="G52" t="s">
        <v>20</v>
      </c>
      <c r="H52">
        <v>24169</v>
      </c>
      <c r="I52">
        <v>0</v>
      </c>
      <c r="J52">
        <v>0</v>
      </c>
      <c r="O52" t="s">
        <v>21</v>
      </c>
      <c r="P52" t="s">
        <v>1475</v>
      </c>
    </row>
    <row r="53" spans="1:16" x14ac:dyDescent="0.3">
      <c r="A53" t="s">
        <v>1476</v>
      </c>
      <c r="C53" t="s">
        <v>1346</v>
      </c>
      <c r="D53" t="s">
        <v>18</v>
      </c>
      <c r="E53" t="s">
        <v>19</v>
      </c>
      <c r="G53" t="s">
        <v>20</v>
      </c>
      <c r="H53">
        <v>40071.5</v>
      </c>
      <c r="I53">
        <v>0</v>
      </c>
      <c r="J53">
        <v>40071.5</v>
      </c>
      <c r="O53" t="s">
        <v>21</v>
      </c>
      <c r="P53" t="s">
        <v>1477</v>
      </c>
    </row>
    <row r="54" spans="1:16" x14ac:dyDescent="0.3">
      <c r="A54" t="s">
        <v>1478</v>
      </c>
      <c r="C54" t="s">
        <v>1346</v>
      </c>
      <c r="D54" t="s">
        <v>18</v>
      </c>
      <c r="E54" t="s">
        <v>19</v>
      </c>
      <c r="F54" t="s">
        <v>1479</v>
      </c>
      <c r="G54" t="s">
        <v>20</v>
      </c>
      <c r="H54">
        <v>40000</v>
      </c>
      <c r="I54">
        <v>0</v>
      </c>
      <c r="J54">
        <v>40000</v>
      </c>
      <c r="O54" t="s">
        <v>21</v>
      </c>
      <c r="P54" t="s">
        <v>1480</v>
      </c>
    </row>
    <row r="55" spans="1:16" x14ac:dyDescent="0.3">
      <c r="A55" t="s">
        <v>1481</v>
      </c>
      <c r="C55" t="s">
        <v>1346</v>
      </c>
      <c r="D55" t="s">
        <v>18</v>
      </c>
      <c r="E55" t="s">
        <v>19</v>
      </c>
      <c r="F55" t="s">
        <v>1479</v>
      </c>
      <c r="G55" t="s">
        <v>20</v>
      </c>
      <c r="H55">
        <v>40000</v>
      </c>
      <c r="I55">
        <v>0</v>
      </c>
      <c r="J55">
        <v>40000</v>
      </c>
      <c r="O55" t="s">
        <v>21</v>
      </c>
      <c r="P55" t="s">
        <v>1482</v>
      </c>
    </row>
    <row r="56" spans="1:16" x14ac:dyDescent="0.3">
      <c r="A56" t="s">
        <v>1483</v>
      </c>
      <c r="C56" t="s">
        <v>1346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1484</v>
      </c>
    </row>
    <row r="57" spans="1:16" x14ac:dyDescent="0.3">
      <c r="A57" t="s">
        <v>1485</v>
      </c>
      <c r="C57" t="s">
        <v>1346</v>
      </c>
      <c r="D57" t="s">
        <v>408</v>
      </c>
      <c r="E57" t="s">
        <v>409</v>
      </c>
      <c r="G57" t="s">
        <v>20</v>
      </c>
      <c r="H57">
        <v>5100</v>
      </c>
      <c r="I57">
        <v>27.412500000000001</v>
      </c>
      <c r="J57">
        <v>5072.5874999999996</v>
      </c>
      <c r="O57" t="s">
        <v>21</v>
      </c>
      <c r="P57" t="s">
        <v>1486</v>
      </c>
    </row>
    <row r="58" spans="1:16" x14ac:dyDescent="0.3">
      <c r="A58" t="s">
        <v>1487</v>
      </c>
      <c r="C58" t="s">
        <v>1346</v>
      </c>
      <c r="D58" t="s">
        <v>1203</v>
      </c>
      <c r="E58" t="s">
        <v>19</v>
      </c>
      <c r="G58" t="s">
        <v>20</v>
      </c>
      <c r="H58">
        <v>40000</v>
      </c>
      <c r="I58">
        <v>32.25</v>
      </c>
      <c r="J58">
        <v>0</v>
      </c>
      <c r="L58">
        <v>12</v>
      </c>
      <c r="M58">
        <v>2.25</v>
      </c>
      <c r="N58">
        <v>0</v>
      </c>
      <c r="O58" t="s">
        <v>412</v>
      </c>
      <c r="P58" t="s">
        <v>1488</v>
      </c>
    </row>
    <row r="59" spans="1:16" x14ac:dyDescent="0.3">
      <c r="A59" t="e">
        <f>-Wfr8LHi86xS6UU_8Bk8t</f>
        <v>#NAME?</v>
      </c>
      <c r="C59" t="s">
        <v>1346</v>
      </c>
      <c r="D59" t="s">
        <v>408</v>
      </c>
      <c r="E59" t="s">
        <v>409</v>
      </c>
      <c r="G59" t="s">
        <v>20</v>
      </c>
      <c r="H59">
        <v>5000</v>
      </c>
      <c r="I59" s="1" t="s">
        <v>1275</v>
      </c>
      <c r="J59">
        <v>4973.125</v>
      </c>
      <c r="O59" t="s">
        <v>21</v>
      </c>
      <c r="P59" t="s">
        <v>1489</v>
      </c>
    </row>
    <row r="60" spans="1:16" x14ac:dyDescent="0.3">
      <c r="A60" t="s">
        <v>1490</v>
      </c>
      <c r="C60" t="s">
        <v>1346</v>
      </c>
      <c r="D60" t="s">
        <v>408</v>
      </c>
      <c r="E60" t="s">
        <v>409</v>
      </c>
      <c r="G60" t="s">
        <v>20</v>
      </c>
      <c r="H60">
        <v>5100</v>
      </c>
      <c r="I60">
        <v>27.412500000000001</v>
      </c>
      <c r="J60">
        <v>5072.5874999999996</v>
      </c>
      <c r="O60" t="s">
        <v>21</v>
      </c>
      <c r="P60" t="s">
        <v>1491</v>
      </c>
    </row>
    <row r="61" spans="1:16" x14ac:dyDescent="0.3">
      <c r="A61" t="s">
        <v>1492</v>
      </c>
      <c r="C61" t="s">
        <v>1346</v>
      </c>
      <c r="D61" t="s">
        <v>408</v>
      </c>
      <c r="E61" t="s">
        <v>409</v>
      </c>
      <c r="G61" t="s">
        <v>20</v>
      </c>
      <c r="H61">
        <v>4000</v>
      </c>
      <c r="I61">
        <v>21.5</v>
      </c>
      <c r="J61">
        <v>3978.5</v>
      </c>
      <c r="O61" t="s">
        <v>21</v>
      </c>
      <c r="P61" t="s">
        <v>1493</v>
      </c>
    </row>
    <row r="62" spans="1:16" x14ac:dyDescent="0.3">
      <c r="A62" t="s">
        <v>1494</v>
      </c>
      <c r="C62" t="s">
        <v>1346</v>
      </c>
      <c r="D62" t="s">
        <v>408</v>
      </c>
      <c r="E62" t="s">
        <v>409</v>
      </c>
      <c r="G62" t="s">
        <v>20</v>
      </c>
      <c r="H62">
        <v>4100</v>
      </c>
      <c r="I62">
        <v>22.037500000000001</v>
      </c>
      <c r="J62">
        <v>4077.9625000000001</v>
      </c>
      <c r="O62" t="s">
        <v>412</v>
      </c>
      <c r="P62" t="s">
        <v>1495</v>
      </c>
    </row>
    <row r="63" spans="1:16" x14ac:dyDescent="0.3">
      <c r="A63" t="s">
        <v>1496</v>
      </c>
      <c r="C63" t="s">
        <v>1346</v>
      </c>
      <c r="D63" t="s">
        <v>1203</v>
      </c>
      <c r="E63" t="s">
        <v>19</v>
      </c>
      <c r="G63" t="s">
        <v>20</v>
      </c>
      <c r="H63">
        <v>40000</v>
      </c>
      <c r="I63">
        <v>32.25</v>
      </c>
      <c r="J63">
        <v>0</v>
      </c>
      <c r="L63">
        <v>12</v>
      </c>
      <c r="M63">
        <v>2.25</v>
      </c>
      <c r="N63">
        <v>0</v>
      </c>
      <c r="O63" t="s">
        <v>412</v>
      </c>
      <c r="P63" t="s">
        <v>1497</v>
      </c>
    </row>
    <row r="64" spans="1:16" x14ac:dyDescent="0.3">
      <c r="A64" t="s">
        <v>1498</v>
      </c>
      <c r="C64" t="s">
        <v>1346</v>
      </c>
      <c r="D64" t="s">
        <v>404</v>
      </c>
      <c r="E64" t="s">
        <v>19</v>
      </c>
      <c r="F64" t="s">
        <v>1499</v>
      </c>
      <c r="G64" t="s">
        <v>20</v>
      </c>
      <c r="H64">
        <v>13924</v>
      </c>
      <c r="I64">
        <v>0</v>
      </c>
      <c r="J64">
        <v>0</v>
      </c>
      <c r="O64" t="s">
        <v>21</v>
      </c>
      <c r="P64" t="s">
        <v>1500</v>
      </c>
    </row>
    <row r="65" spans="1:16" x14ac:dyDescent="0.3">
      <c r="A65" t="s">
        <v>1501</v>
      </c>
      <c r="C65" t="s">
        <v>1346</v>
      </c>
      <c r="D65" t="s">
        <v>408</v>
      </c>
      <c r="E65" t="s">
        <v>409</v>
      </c>
      <c r="G65" t="s">
        <v>20</v>
      </c>
      <c r="H65">
        <v>10000</v>
      </c>
      <c r="I65" s="1" t="s">
        <v>1432</v>
      </c>
      <c r="J65">
        <v>9946.25</v>
      </c>
      <c r="O65" t="s">
        <v>21</v>
      </c>
      <c r="P65" t="s">
        <v>1502</v>
      </c>
    </row>
    <row r="66" spans="1:16" x14ac:dyDescent="0.3">
      <c r="A66" t="s">
        <v>1503</v>
      </c>
      <c r="C66" t="s">
        <v>1346</v>
      </c>
      <c r="D66" t="s">
        <v>408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1504</v>
      </c>
    </row>
    <row r="67" spans="1:16" x14ac:dyDescent="0.3">
      <c r="A67" t="s">
        <v>1505</v>
      </c>
      <c r="C67" t="s">
        <v>1346</v>
      </c>
      <c r="D67" t="s">
        <v>408</v>
      </c>
      <c r="E67" t="s">
        <v>409</v>
      </c>
      <c r="G67" t="s">
        <v>20</v>
      </c>
      <c r="H67">
        <v>3000</v>
      </c>
      <c r="I67" s="1" t="s">
        <v>1393</v>
      </c>
      <c r="J67">
        <v>2983.875</v>
      </c>
      <c r="O67" t="s">
        <v>21</v>
      </c>
      <c r="P67" t="s">
        <v>1506</v>
      </c>
    </row>
    <row r="68" spans="1:16" x14ac:dyDescent="0.3">
      <c r="A68" t="s">
        <v>1507</v>
      </c>
      <c r="C68" t="s">
        <v>1346</v>
      </c>
      <c r="D68" t="s">
        <v>1203</v>
      </c>
      <c r="E68" t="s">
        <v>19</v>
      </c>
      <c r="G68" t="s">
        <v>20</v>
      </c>
      <c r="H68">
        <v>26000</v>
      </c>
      <c r="I68">
        <v>32.25</v>
      </c>
      <c r="J68">
        <v>0</v>
      </c>
      <c r="L68">
        <v>12</v>
      </c>
      <c r="M68">
        <v>2.25</v>
      </c>
      <c r="N68">
        <v>0</v>
      </c>
      <c r="O68" t="s">
        <v>412</v>
      </c>
      <c r="P68" t="s">
        <v>1508</v>
      </c>
    </row>
    <row r="69" spans="1:16" x14ac:dyDescent="0.3">
      <c r="A69" t="s">
        <v>1509</v>
      </c>
      <c r="C69" t="s">
        <v>1346</v>
      </c>
      <c r="D69" t="s">
        <v>404</v>
      </c>
      <c r="E69" t="s">
        <v>19</v>
      </c>
      <c r="F69" t="s">
        <v>1510</v>
      </c>
      <c r="G69" t="s">
        <v>20</v>
      </c>
      <c r="H69">
        <v>11239</v>
      </c>
      <c r="I69">
        <v>0</v>
      </c>
      <c r="J69">
        <v>0</v>
      </c>
      <c r="O69" t="s">
        <v>21</v>
      </c>
      <c r="P69" t="s">
        <v>1511</v>
      </c>
    </row>
    <row r="70" spans="1:16" x14ac:dyDescent="0.3">
      <c r="A70" t="s">
        <v>1512</v>
      </c>
      <c r="C70" t="s">
        <v>1346</v>
      </c>
      <c r="D70" t="s">
        <v>1203</v>
      </c>
      <c r="E70" t="s">
        <v>19</v>
      </c>
      <c r="G70" t="s">
        <v>20</v>
      </c>
      <c r="H70">
        <v>15000</v>
      </c>
      <c r="I70">
        <v>32.25</v>
      </c>
      <c r="J70">
        <v>0</v>
      </c>
      <c r="L70">
        <v>12</v>
      </c>
      <c r="M70">
        <v>2.25</v>
      </c>
      <c r="N70">
        <v>0</v>
      </c>
      <c r="O70" t="s">
        <v>412</v>
      </c>
      <c r="P70" t="s">
        <v>1513</v>
      </c>
    </row>
    <row r="71" spans="1:16" x14ac:dyDescent="0.3">
      <c r="A71" t="s">
        <v>1514</v>
      </c>
      <c r="C71" t="s">
        <v>1346</v>
      </c>
      <c r="D71" t="s">
        <v>408</v>
      </c>
      <c r="E71" t="s">
        <v>409</v>
      </c>
      <c r="G71" t="s">
        <v>20</v>
      </c>
      <c r="H71">
        <v>5200</v>
      </c>
      <c r="I71">
        <v>27.95</v>
      </c>
      <c r="J71">
        <v>5172.05</v>
      </c>
      <c r="O71" t="s">
        <v>21</v>
      </c>
      <c r="P71" t="s">
        <v>1515</v>
      </c>
    </row>
    <row r="72" spans="1:16" x14ac:dyDescent="0.3">
      <c r="A72" t="s">
        <v>1516</v>
      </c>
      <c r="C72" t="s">
        <v>1346</v>
      </c>
      <c r="D72" t="s">
        <v>408</v>
      </c>
      <c r="E72" t="s">
        <v>409</v>
      </c>
      <c r="G72" t="s">
        <v>20</v>
      </c>
      <c r="H72">
        <v>4100</v>
      </c>
      <c r="I72">
        <v>22.037500000000001</v>
      </c>
      <c r="J72">
        <v>4077.9625000000001</v>
      </c>
      <c r="O72" t="s">
        <v>21</v>
      </c>
      <c r="P72" t="s">
        <v>1517</v>
      </c>
    </row>
    <row r="73" spans="1:16" x14ac:dyDescent="0.3">
      <c r="A73" t="s">
        <v>1518</v>
      </c>
      <c r="C73" t="s">
        <v>1346</v>
      </c>
      <c r="D73" t="s">
        <v>408</v>
      </c>
      <c r="E73" t="s">
        <v>409</v>
      </c>
      <c r="G73" t="s">
        <v>20</v>
      </c>
      <c r="H73">
        <v>2000</v>
      </c>
      <c r="I73">
        <v>10.75</v>
      </c>
      <c r="J73">
        <v>1989.25</v>
      </c>
      <c r="O73" t="s">
        <v>21</v>
      </c>
      <c r="P73" t="s">
        <v>1519</v>
      </c>
    </row>
    <row r="74" spans="1:16" x14ac:dyDescent="0.3">
      <c r="A74" t="s">
        <v>1520</v>
      </c>
      <c r="C74" t="s">
        <v>1346</v>
      </c>
      <c r="D74" t="s">
        <v>1203</v>
      </c>
      <c r="E74" t="s">
        <v>19</v>
      </c>
      <c r="G74" t="s">
        <v>20</v>
      </c>
      <c r="H74">
        <v>15000</v>
      </c>
      <c r="I74">
        <v>32.25</v>
      </c>
      <c r="J74">
        <v>0</v>
      </c>
      <c r="L74">
        <v>12</v>
      </c>
      <c r="M74">
        <v>2.25</v>
      </c>
      <c r="N74">
        <v>0</v>
      </c>
      <c r="O74" t="s">
        <v>412</v>
      </c>
      <c r="P74" t="s">
        <v>1521</v>
      </c>
    </row>
    <row r="75" spans="1:16" x14ac:dyDescent="0.3">
      <c r="A75" t="s">
        <v>1522</v>
      </c>
      <c r="C75" t="s">
        <v>1346</v>
      </c>
      <c r="D75" t="s">
        <v>1203</v>
      </c>
      <c r="E75" t="s">
        <v>19</v>
      </c>
      <c r="G75" t="s">
        <v>20</v>
      </c>
      <c r="H75">
        <v>15000</v>
      </c>
      <c r="I75">
        <v>32.25</v>
      </c>
      <c r="J75">
        <v>0</v>
      </c>
      <c r="L75">
        <v>12</v>
      </c>
      <c r="M75">
        <v>2.25</v>
      </c>
      <c r="N75">
        <v>0</v>
      </c>
      <c r="O75" t="s">
        <v>412</v>
      </c>
      <c r="P75" t="s">
        <v>1523</v>
      </c>
    </row>
    <row r="76" spans="1:16" x14ac:dyDescent="0.3">
      <c r="A76" t="s">
        <v>1524</v>
      </c>
      <c r="C76" t="s">
        <v>1346</v>
      </c>
      <c r="D76" t="s">
        <v>404</v>
      </c>
      <c r="E76" t="s">
        <v>19</v>
      </c>
      <c r="F76" t="s">
        <v>1525</v>
      </c>
      <c r="G76" t="s">
        <v>20</v>
      </c>
      <c r="H76">
        <v>15018</v>
      </c>
      <c r="I76">
        <v>0</v>
      </c>
      <c r="J76">
        <v>0</v>
      </c>
      <c r="O76" t="s">
        <v>21</v>
      </c>
      <c r="P76" t="s">
        <v>1526</v>
      </c>
    </row>
    <row r="77" spans="1:16" x14ac:dyDescent="0.3">
      <c r="A77" t="s">
        <v>1527</v>
      </c>
      <c r="C77" t="s">
        <v>1346</v>
      </c>
      <c r="D77" t="s">
        <v>408</v>
      </c>
      <c r="E77" t="s">
        <v>409</v>
      </c>
      <c r="G77" t="s">
        <v>20</v>
      </c>
      <c r="H77">
        <v>10000</v>
      </c>
      <c r="I77" s="1" t="s">
        <v>1432</v>
      </c>
      <c r="J77">
        <v>9946.25</v>
      </c>
      <c r="O77" t="s">
        <v>21</v>
      </c>
      <c r="P77" t="s">
        <v>1528</v>
      </c>
    </row>
    <row r="78" spans="1:16" x14ac:dyDescent="0.3">
      <c r="A78" t="s">
        <v>1529</v>
      </c>
      <c r="C78" t="s">
        <v>1346</v>
      </c>
      <c r="D78" t="s">
        <v>408</v>
      </c>
      <c r="E78" t="s">
        <v>409</v>
      </c>
      <c r="G78" t="s">
        <v>20</v>
      </c>
      <c r="H78">
        <v>5100</v>
      </c>
      <c r="I78">
        <v>27.412500000000001</v>
      </c>
      <c r="J78">
        <v>5072.5874999999996</v>
      </c>
      <c r="O78" t="s">
        <v>21</v>
      </c>
      <c r="P78" t="s">
        <v>1530</v>
      </c>
    </row>
    <row r="79" spans="1:16" x14ac:dyDescent="0.3">
      <c r="A79" t="e">
        <f>-ym4Bq3ubDEjVh62PpBmd</f>
        <v>#NAME?</v>
      </c>
      <c r="C79" t="s">
        <v>1346</v>
      </c>
      <c r="D79" t="s">
        <v>408</v>
      </c>
      <c r="E79" t="s">
        <v>409</v>
      </c>
      <c r="G79" t="s">
        <v>20</v>
      </c>
      <c r="H79">
        <v>1100</v>
      </c>
      <c r="I79">
        <v>5.9124999999999996</v>
      </c>
      <c r="J79">
        <v>1094.0875000000001</v>
      </c>
      <c r="O79" t="s">
        <v>412</v>
      </c>
      <c r="P79" t="s">
        <v>1531</v>
      </c>
    </row>
    <row r="80" spans="1:16" x14ac:dyDescent="0.3">
      <c r="A80" t="s">
        <v>1532</v>
      </c>
      <c r="C80" t="s">
        <v>1346</v>
      </c>
      <c r="D80" t="s">
        <v>408</v>
      </c>
      <c r="E80" t="s">
        <v>409</v>
      </c>
      <c r="G80" t="s">
        <v>20</v>
      </c>
      <c r="H80">
        <v>1100</v>
      </c>
      <c r="I80">
        <v>5.9124999999999996</v>
      </c>
      <c r="J80">
        <v>1094.0875000000001</v>
      </c>
      <c r="O80" t="s">
        <v>412</v>
      </c>
      <c r="P80" t="s">
        <v>1533</v>
      </c>
    </row>
    <row r="81" spans="1:16" x14ac:dyDescent="0.3">
      <c r="A81" t="s">
        <v>1534</v>
      </c>
      <c r="C81" t="s">
        <v>1346</v>
      </c>
      <c r="D81" t="s">
        <v>408</v>
      </c>
      <c r="E81" t="s">
        <v>409</v>
      </c>
      <c r="G81" t="s">
        <v>20</v>
      </c>
      <c r="H81">
        <v>1100</v>
      </c>
      <c r="I81">
        <v>5.9124999999999996</v>
      </c>
      <c r="J81">
        <v>1094.0875000000001</v>
      </c>
      <c r="O81" t="s">
        <v>412</v>
      </c>
      <c r="P81" t="s">
        <v>1535</v>
      </c>
    </row>
    <row r="82" spans="1:16" x14ac:dyDescent="0.3">
      <c r="A82" t="s">
        <v>1536</v>
      </c>
      <c r="B82" s="1" t="s">
        <v>1537</v>
      </c>
      <c r="C82" t="s">
        <v>1346</v>
      </c>
      <c r="D82" t="s">
        <v>1203</v>
      </c>
      <c r="E82" t="s">
        <v>19</v>
      </c>
      <c r="G82" t="s">
        <v>20</v>
      </c>
      <c r="H82">
        <v>27000</v>
      </c>
      <c r="I82">
        <v>32.25</v>
      </c>
      <c r="J82">
        <v>0</v>
      </c>
      <c r="L82">
        <v>12</v>
      </c>
      <c r="M82">
        <v>2.25</v>
      </c>
      <c r="N82">
        <v>0</v>
      </c>
      <c r="O82" t="s">
        <v>21</v>
      </c>
      <c r="P82" t="s">
        <v>1538</v>
      </c>
    </row>
    <row r="83" spans="1:16" x14ac:dyDescent="0.3">
      <c r="A83" t="s">
        <v>1539</v>
      </c>
      <c r="C83" t="s">
        <v>1346</v>
      </c>
      <c r="D83" t="s">
        <v>404</v>
      </c>
      <c r="E83" t="s">
        <v>19</v>
      </c>
      <c r="F83" t="s">
        <v>1540</v>
      </c>
      <c r="G83" t="s">
        <v>20</v>
      </c>
      <c r="H83">
        <v>20292</v>
      </c>
      <c r="I83">
        <v>0</v>
      </c>
      <c r="J83">
        <v>0</v>
      </c>
      <c r="O83" t="s">
        <v>21</v>
      </c>
      <c r="P83" t="s">
        <v>1541</v>
      </c>
    </row>
    <row r="84" spans="1:16" x14ac:dyDescent="0.3">
      <c r="A84" t="s">
        <v>1542</v>
      </c>
      <c r="C84" t="s">
        <v>1346</v>
      </c>
      <c r="D84" t="s">
        <v>408</v>
      </c>
      <c r="E84" t="s">
        <v>409</v>
      </c>
      <c r="G84" t="s">
        <v>20</v>
      </c>
      <c r="H84">
        <v>1100</v>
      </c>
      <c r="I84">
        <v>5.9124999999999996</v>
      </c>
      <c r="J84">
        <v>1094.0875000000001</v>
      </c>
      <c r="O84" t="s">
        <v>412</v>
      </c>
      <c r="P84" t="s">
        <v>1543</v>
      </c>
    </row>
    <row r="85" spans="1:16" x14ac:dyDescent="0.3">
      <c r="A85" t="s">
        <v>1544</v>
      </c>
      <c r="C85" t="s">
        <v>1346</v>
      </c>
      <c r="D85" t="s">
        <v>408</v>
      </c>
      <c r="E85" t="s">
        <v>409</v>
      </c>
      <c r="G85" t="s">
        <v>20</v>
      </c>
      <c r="H85">
        <v>1100</v>
      </c>
      <c r="I85">
        <v>5.9124999999999996</v>
      </c>
      <c r="J85">
        <v>1094.0875000000001</v>
      </c>
      <c r="O85" t="s">
        <v>412</v>
      </c>
      <c r="P85" t="s">
        <v>1545</v>
      </c>
    </row>
    <row r="86" spans="1:16" x14ac:dyDescent="0.3">
      <c r="A86" t="s">
        <v>1546</v>
      </c>
      <c r="C86" t="s">
        <v>1346</v>
      </c>
      <c r="D86" t="s">
        <v>408</v>
      </c>
      <c r="E86" t="s">
        <v>409</v>
      </c>
      <c r="G86" t="s">
        <v>20</v>
      </c>
      <c r="H86">
        <v>20400</v>
      </c>
      <c r="I86">
        <v>107.5</v>
      </c>
      <c r="J86">
        <v>20292.5</v>
      </c>
      <c r="O86" t="s">
        <v>21</v>
      </c>
      <c r="P86" t="s">
        <v>1547</v>
      </c>
    </row>
    <row r="87" spans="1:16" x14ac:dyDescent="0.3">
      <c r="A87" t="s">
        <v>1548</v>
      </c>
      <c r="C87" t="s">
        <v>1346</v>
      </c>
      <c r="D87" t="s">
        <v>404</v>
      </c>
      <c r="E87" t="s">
        <v>19</v>
      </c>
      <c r="F87" t="s">
        <v>1549</v>
      </c>
      <c r="G87" t="s">
        <v>20</v>
      </c>
      <c r="H87">
        <v>994</v>
      </c>
      <c r="I87">
        <v>0</v>
      </c>
      <c r="J87">
        <v>0</v>
      </c>
      <c r="O87" t="s">
        <v>21</v>
      </c>
      <c r="P87" t="s">
        <v>1550</v>
      </c>
    </row>
    <row r="88" spans="1:16" x14ac:dyDescent="0.3">
      <c r="A88" t="s">
        <v>1551</v>
      </c>
      <c r="C88" t="s">
        <v>1346</v>
      </c>
      <c r="D88" t="s">
        <v>408</v>
      </c>
      <c r="E88" t="s">
        <v>409</v>
      </c>
      <c r="G88" t="s">
        <v>20</v>
      </c>
      <c r="H88">
        <v>1000</v>
      </c>
      <c r="I88">
        <v>5.375</v>
      </c>
      <c r="J88">
        <v>994.625</v>
      </c>
      <c r="O88" t="s">
        <v>21</v>
      </c>
      <c r="P88" t="s">
        <v>1552</v>
      </c>
    </row>
    <row r="89" spans="1:16" x14ac:dyDescent="0.3">
      <c r="A89" t="s">
        <v>1553</v>
      </c>
      <c r="C89" t="s">
        <v>1346</v>
      </c>
      <c r="D89" t="s">
        <v>408</v>
      </c>
      <c r="E89" t="s">
        <v>409</v>
      </c>
      <c r="G89" t="s">
        <v>20</v>
      </c>
      <c r="H89">
        <v>1000</v>
      </c>
      <c r="I89">
        <v>5.375</v>
      </c>
      <c r="J89">
        <v>994.625</v>
      </c>
      <c r="O89" t="s">
        <v>412</v>
      </c>
      <c r="P89" t="s">
        <v>1554</v>
      </c>
    </row>
    <row r="90" spans="1:16" x14ac:dyDescent="0.3">
      <c r="A90" t="s">
        <v>1555</v>
      </c>
      <c r="C90" t="s">
        <v>1346</v>
      </c>
      <c r="D90" t="s">
        <v>404</v>
      </c>
      <c r="E90" t="s">
        <v>19</v>
      </c>
      <c r="F90" t="s">
        <v>1556</v>
      </c>
      <c r="G90" t="s">
        <v>20</v>
      </c>
      <c r="H90">
        <v>5669</v>
      </c>
      <c r="I90">
        <v>0</v>
      </c>
      <c r="J90">
        <v>0</v>
      </c>
      <c r="O90" t="s">
        <v>21</v>
      </c>
      <c r="P90" t="s">
        <v>1557</v>
      </c>
    </row>
    <row r="91" spans="1:16" x14ac:dyDescent="0.3">
      <c r="A91" t="s">
        <v>1558</v>
      </c>
      <c r="C91" t="s">
        <v>1346</v>
      </c>
      <c r="D91" t="s">
        <v>408</v>
      </c>
      <c r="E91" t="s">
        <v>409</v>
      </c>
      <c r="G91" t="s">
        <v>20</v>
      </c>
      <c r="H91">
        <v>2100</v>
      </c>
      <c r="I91">
        <v>11.2875</v>
      </c>
      <c r="J91">
        <v>2088.7125000000001</v>
      </c>
      <c r="O91" t="s">
        <v>21</v>
      </c>
      <c r="P91" t="s">
        <v>1559</v>
      </c>
    </row>
    <row r="92" spans="1:16" x14ac:dyDescent="0.3">
      <c r="A92" t="s">
        <v>1560</v>
      </c>
      <c r="C92" t="s">
        <v>1346</v>
      </c>
      <c r="D92" t="s">
        <v>408</v>
      </c>
      <c r="E92" t="s">
        <v>409</v>
      </c>
      <c r="G92" t="s">
        <v>20</v>
      </c>
      <c r="H92">
        <v>3600</v>
      </c>
      <c r="I92">
        <v>19.350000000000001</v>
      </c>
      <c r="J92">
        <v>3580.65</v>
      </c>
      <c r="O92" t="s">
        <v>21</v>
      </c>
      <c r="P92" t="s">
        <v>1561</v>
      </c>
    </row>
    <row r="93" spans="1:16" x14ac:dyDescent="0.3">
      <c r="A93" t="s">
        <v>1562</v>
      </c>
      <c r="B93" s="1" t="s">
        <v>1563</v>
      </c>
      <c r="C93" t="s">
        <v>1346</v>
      </c>
      <c r="D93" t="s">
        <v>1203</v>
      </c>
      <c r="E93" t="s">
        <v>19</v>
      </c>
      <c r="G93" t="s">
        <v>20</v>
      </c>
      <c r="H93">
        <v>1000</v>
      </c>
      <c r="I93">
        <v>32.25</v>
      </c>
      <c r="J93">
        <v>0</v>
      </c>
      <c r="L93">
        <v>12</v>
      </c>
      <c r="M93">
        <v>2.25</v>
      </c>
      <c r="N93">
        <v>0</v>
      </c>
      <c r="O93" t="s">
        <v>21</v>
      </c>
      <c r="P93" t="s">
        <v>1564</v>
      </c>
    </row>
    <row r="94" spans="1:16" x14ac:dyDescent="0.3">
      <c r="A94" t="s">
        <v>1565</v>
      </c>
      <c r="B94" s="1" t="s">
        <v>1566</v>
      </c>
      <c r="C94" t="s">
        <v>1346</v>
      </c>
      <c r="D94" t="s">
        <v>1203</v>
      </c>
      <c r="E94" t="s">
        <v>19</v>
      </c>
      <c r="G94" t="s">
        <v>20</v>
      </c>
      <c r="H94">
        <v>49000</v>
      </c>
      <c r="I94">
        <v>32.25</v>
      </c>
      <c r="J94">
        <v>0</v>
      </c>
      <c r="L94">
        <v>12</v>
      </c>
      <c r="M94">
        <v>2.25</v>
      </c>
      <c r="N94">
        <v>0</v>
      </c>
      <c r="O94" t="s">
        <v>21</v>
      </c>
      <c r="P94" t="s">
        <v>1567</v>
      </c>
    </row>
    <row r="95" spans="1:16" x14ac:dyDescent="0.3">
      <c r="A95" t="s">
        <v>1568</v>
      </c>
      <c r="C95" t="s">
        <v>1346</v>
      </c>
      <c r="D95" t="s">
        <v>1203</v>
      </c>
      <c r="E95" t="s">
        <v>19</v>
      </c>
      <c r="G95" t="s">
        <v>20</v>
      </c>
      <c r="H95">
        <v>50000</v>
      </c>
      <c r="I95">
        <v>32.25</v>
      </c>
      <c r="J95">
        <v>0</v>
      </c>
      <c r="L95">
        <v>12</v>
      </c>
      <c r="M95">
        <v>2.25</v>
      </c>
      <c r="N95">
        <v>0</v>
      </c>
      <c r="O95" t="s">
        <v>412</v>
      </c>
      <c r="P95" t="s">
        <v>1569</v>
      </c>
    </row>
    <row r="96" spans="1:16" x14ac:dyDescent="0.3">
      <c r="A96" t="s">
        <v>1570</v>
      </c>
      <c r="C96" t="s">
        <v>1346</v>
      </c>
      <c r="D96" t="s">
        <v>1203</v>
      </c>
      <c r="E96" t="s">
        <v>19</v>
      </c>
      <c r="G96" t="s">
        <v>20</v>
      </c>
      <c r="H96">
        <v>50000</v>
      </c>
      <c r="I96">
        <v>32.25</v>
      </c>
      <c r="J96">
        <v>0</v>
      </c>
      <c r="L96">
        <v>12</v>
      </c>
      <c r="M96">
        <v>2.25</v>
      </c>
      <c r="N96">
        <v>0</v>
      </c>
      <c r="O96" t="s">
        <v>412</v>
      </c>
      <c r="P96" t="s">
        <v>1571</v>
      </c>
    </row>
    <row r="97" spans="1:16" x14ac:dyDescent="0.3">
      <c r="A97" t="s">
        <v>1572</v>
      </c>
      <c r="C97" t="s">
        <v>1346</v>
      </c>
      <c r="D97" t="s">
        <v>404</v>
      </c>
      <c r="E97" t="s">
        <v>19</v>
      </c>
      <c r="F97" t="s">
        <v>1573</v>
      </c>
      <c r="G97" t="s">
        <v>20</v>
      </c>
      <c r="H97">
        <v>11239</v>
      </c>
      <c r="I97">
        <v>0</v>
      </c>
      <c r="J97">
        <v>0</v>
      </c>
      <c r="O97" t="s">
        <v>21</v>
      </c>
      <c r="P97" t="s">
        <v>1574</v>
      </c>
    </row>
    <row r="98" spans="1:16" x14ac:dyDescent="0.3">
      <c r="A98" t="s">
        <v>1575</v>
      </c>
      <c r="C98" t="s">
        <v>1346</v>
      </c>
      <c r="D98" t="s">
        <v>408</v>
      </c>
      <c r="E98" t="s">
        <v>409</v>
      </c>
      <c r="G98" t="s">
        <v>20</v>
      </c>
      <c r="H98">
        <v>3100</v>
      </c>
      <c r="I98">
        <v>16.662500000000001</v>
      </c>
      <c r="J98">
        <v>3083.3375000000001</v>
      </c>
      <c r="O98" t="s">
        <v>21</v>
      </c>
      <c r="P98" t="s">
        <v>1576</v>
      </c>
    </row>
    <row r="99" spans="1:16" x14ac:dyDescent="0.3">
      <c r="A99" t="s">
        <v>1577</v>
      </c>
      <c r="C99" t="s">
        <v>1346</v>
      </c>
      <c r="D99" t="s">
        <v>1203</v>
      </c>
      <c r="E99" t="s">
        <v>19</v>
      </c>
      <c r="G99" t="s">
        <v>20</v>
      </c>
      <c r="H99">
        <v>38000</v>
      </c>
      <c r="I99">
        <v>32.25</v>
      </c>
      <c r="J99">
        <v>0</v>
      </c>
      <c r="L99">
        <v>12</v>
      </c>
      <c r="M99">
        <v>2.25</v>
      </c>
      <c r="N99">
        <v>0</v>
      </c>
      <c r="O99" t="s">
        <v>412</v>
      </c>
      <c r="P99" t="s">
        <v>1578</v>
      </c>
    </row>
    <row r="100" spans="1:16" x14ac:dyDescent="0.3">
      <c r="A100" t="s">
        <v>1579</v>
      </c>
      <c r="C100" t="s">
        <v>1346</v>
      </c>
      <c r="D100" t="s">
        <v>1203</v>
      </c>
      <c r="E100" t="s">
        <v>19</v>
      </c>
      <c r="G100" t="s">
        <v>20</v>
      </c>
      <c r="H100">
        <v>38000</v>
      </c>
      <c r="I100">
        <v>32.25</v>
      </c>
      <c r="J100">
        <v>0</v>
      </c>
      <c r="L100">
        <v>12</v>
      </c>
      <c r="M100">
        <v>2.25</v>
      </c>
      <c r="N100">
        <v>0</v>
      </c>
      <c r="O100" t="s">
        <v>412</v>
      </c>
      <c r="P100" t="s">
        <v>1580</v>
      </c>
    </row>
    <row r="101" spans="1:16" x14ac:dyDescent="0.3">
      <c r="A101" t="s">
        <v>1581</v>
      </c>
      <c r="C101" t="s">
        <v>1346</v>
      </c>
      <c r="D101" t="s">
        <v>1203</v>
      </c>
      <c r="E101" t="s">
        <v>19</v>
      </c>
      <c r="G101" t="s">
        <v>20</v>
      </c>
      <c r="H101">
        <v>38000</v>
      </c>
      <c r="I101">
        <v>32.25</v>
      </c>
      <c r="J101">
        <v>0</v>
      </c>
      <c r="L101">
        <v>12</v>
      </c>
      <c r="M101">
        <v>2.25</v>
      </c>
      <c r="N101">
        <v>0</v>
      </c>
      <c r="O101" t="s">
        <v>412</v>
      </c>
      <c r="P101" t="s">
        <v>1582</v>
      </c>
    </row>
    <row r="102" spans="1:16" x14ac:dyDescent="0.3">
      <c r="A102" t="s">
        <v>1583</v>
      </c>
      <c r="C102" t="s">
        <v>1346</v>
      </c>
      <c r="D102" t="s">
        <v>1203</v>
      </c>
      <c r="E102" t="s">
        <v>19</v>
      </c>
      <c r="G102" t="s">
        <v>20</v>
      </c>
      <c r="H102">
        <v>38000</v>
      </c>
      <c r="I102">
        <v>32.25</v>
      </c>
      <c r="J102">
        <v>0</v>
      </c>
      <c r="L102">
        <v>12</v>
      </c>
      <c r="M102">
        <v>2.25</v>
      </c>
      <c r="N102">
        <v>0</v>
      </c>
      <c r="O102" t="s">
        <v>412</v>
      </c>
      <c r="P102" t="s">
        <v>1584</v>
      </c>
    </row>
    <row r="103" spans="1:16" x14ac:dyDescent="0.3">
      <c r="A103" t="s">
        <v>1585</v>
      </c>
      <c r="C103" t="s">
        <v>1346</v>
      </c>
      <c r="D103" t="s">
        <v>408</v>
      </c>
      <c r="E103" t="s">
        <v>409</v>
      </c>
      <c r="G103" t="s">
        <v>20</v>
      </c>
      <c r="H103">
        <v>8200</v>
      </c>
      <c r="I103">
        <v>44.075000000000003</v>
      </c>
      <c r="J103">
        <v>8155.9250000000002</v>
      </c>
      <c r="O103" t="s">
        <v>21</v>
      </c>
      <c r="P103" t="s">
        <v>1586</v>
      </c>
    </row>
    <row r="104" spans="1:16" x14ac:dyDescent="0.3">
      <c r="A104" t="s">
        <v>1587</v>
      </c>
      <c r="C104" t="s">
        <v>1346</v>
      </c>
      <c r="D104" t="s">
        <v>1203</v>
      </c>
      <c r="E104" t="s">
        <v>19</v>
      </c>
      <c r="G104" t="s">
        <v>20</v>
      </c>
      <c r="H104">
        <v>38000</v>
      </c>
      <c r="I104">
        <v>32.25</v>
      </c>
      <c r="J104">
        <v>0</v>
      </c>
      <c r="L104">
        <v>12</v>
      </c>
      <c r="M104">
        <v>2.25</v>
      </c>
      <c r="N104">
        <v>0</v>
      </c>
      <c r="O104" t="s">
        <v>412</v>
      </c>
      <c r="P104" t="s">
        <v>1588</v>
      </c>
    </row>
    <row r="105" spans="1:16" x14ac:dyDescent="0.3">
      <c r="A105" t="s">
        <v>1589</v>
      </c>
      <c r="C105" t="s">
        <v>1346</v>
      </c>
      <c r="D105" t="s">
        <v>1203</v>
      </c>
      <c r="E105" t="s">
        <v>19</v>
      </c>
      <c r="G105" t="s">
        <v>20</v>
      </c>
      <c r="H105">
        <v>38000</v>
      </c>
      <c r="I105">
        <v>32.25</v>
      </c>
      <c r="J105">
        <v>0</v>
      </c>
      <c r="L105">
        <v>12</v>
      </c>
      <c r="M105">
        <v>2.25</v>
      </c>
      <c r="N105">
        <v>0</v>
      </c>
      <c r="O105" t="s">
        <v>412</v>
      </c>
      <c r="P105" t="s">
        <v>1590</v>
      </c>
    </row>
    <row r="106" spans="1:16" x14ac:dyDescent="0.3">
      <c r="A106" t="s">
        <v>1591</v>
      </c>
      <c r="C106" t="s">
        <v>1346</v>
      </c>
      <c r="D106" t="s">
        <v>404</v>
      </c>
      <c r="E106" t="s">
        <v>19</v>
      </c>
      <c r="F106" t="s">
        <v>1592</v>
      </c>
      <c r="G106" t="s">
        <v>20</v>
      </c>
      <c r="H106">
        <v>30137</v>
      </c>
      <c r="I106">
        <v>0</v>
      </c>
      <c r="J106">
        <v>0</v>
      </c>
      <c r="O106" t="s">
        <v>21</v>
      </c>
      <c r="P106" t="s">
        <v>1593</v>
      </c>
    </row>
    <row r="107" spans="1:16" x14ac:dyDescent="0.3">
      <c r="A107" t="s">
        <v>1594</v>
      </c>
      <c r="C107" t="s">
        <v>1346</v>
      </c>
      <c r="D107" t="s">
        <v>408</v>
      </c>
      <c r="E107" t="s">
        <v>409</v>
      </c>
      <c r="G107" t="s">
        <v>20</v>
      </c>
      <c r="H107">
        <v>1900</v>
      </c>
      <c r="I107">
        <v>10.2125</v>
      </c>
      <c r="J107">
        <v>1889.7874999999999</v>
      </c>
      <c r="O107" t="s">
        <v>21</v>
      </c>
      <c r="P107" t="s">
        <v>1595</v>
      </c>
    </row>
    <row r="108" spans="1:16" x14ac:dyDescent="0.3">
      <c r="A108" t="s">
        <v>1596</v>
      </c>
      <c r="C108" t="s">
        <v>1346</v>
      </c>
      <c r="D108" t="s">
        <v>408</v>
      </c>
      <c r="E108" t="s">
        <v>409</v>
      </c>
      <c r="G108" t="s">
        <v>20</v>
      </c>
      <c r="H108">
        <v>2100</v>
      </c>
      <c r="I108">
        <v>11.2875</v>
      </c>
      <c r="J108">
        <v>2088.7125000000001</v>
      </c>
      <c r="O108" t="s">
        <v>21</v>
      </c>
      <c r="P108" t="s">
        <v>1597</v>
      </c>
    </row>
    <row r="109" spans="1:16" x14ac:dyDescent="0.3">
      <c r="A109" t="s">
        <v>1598</v>
      </c>
      <c r="C109" t="s">
        <v>1346</v>
      </c>
      <c r="D109" t="s">
        <v>408</v>
      </c>
      <c r="E109" t="s">
        <v>409</v>
      </c>
      <c r="G109" t="s">
        <v>20</v>
      </c>
      <c r="H109">
        <v>5000</v>
      </c>
      <c r="I109" s="1" t="s">
        <v>1275</v>
      </c>
      <c r="J109">
        <v>4973.125</v>
      </c>
      <c r="O109" t="s">
        <v>21</v>
      </c>
      <c r="P109" t="s">
        <v>1599</v>
      </c>
    </row>
    <row r="110" spans="1:16" x14ac:dyDescent="0.3">
      <c r="A110" t="s">
        <v>1600</v>
      </c>
      <c r="C110" t="s">
        <v>1346</v>
      </c>
      <c r="D110" t="s">
        <v>408</v>
      </c>
      <c r="E110" t="s">
        <v>409</v>
      </c>
      <c r="G110" t="s">
        <v>20</v>
      </c>
      <c r="H110">
        <v>2100</v>
      </c>
      <c r="I110">
        <v>11.2875</v>
      </c>
      <c r="J110">
        <v>2088.7125000000001</v>
      </c>
      <c r="O110" t="s">
        <v>21</v>
      </c>
      <c r="P110" t="s">
        <v>1601</v>
      </c>
    </row>
    <row r="111" spans="1:16" x14ac:dyDescent="0.3">
      <c r="A111" t="s">
        <v>1602</v>
      </c>
      <c r="C111" t="s">
        <v>1346</v>
      </c>
      <c r="D111" t="s">
        <v>408</v>
      </c>
      <c r="E111" t="s">
        <v>409</v>
      </c>
      <c r="G111" t="s">
        <v>20</v>
      </c>
      <c r="H111">
        <v>5100</v>
      </c>
      <c r="I111">
        <v>27.412500000000001</v>
      </c>
      <c r="J111">
        <v>5072.5874999999996</v>
      </c>
      <c r="O111" t="s">
        <v>21</v>
      </c>
      <c r="P111" t="s">
        <v>1603</v>
      </c>
    </row>
    <row r="112" spans="1:16" x14ac:dyDescent="0.3">
      <c r="A112" t="s">
        <v>1604</v>
      </c>
      <c r="C112" t="s">
        <v>1346</v>
      </c>
      <c r="D112" t="s">
        <v>408</v>
      </c>
      <c r="E112" t="s">
        <v>409</v>
      </c>
      <c r="G112" t="s">
        <v>20</v>
      </c>
      <c r="H112">
        <v>2100</v>
      </c>
      <c r="I112">
        <v>11.2875</v>
      </c>
      <c r="J112">
        <v>2088.7125000000001</v>
      </c>
      <c r="O112" t="s">
        <v>21</v>
      </c>
      <c r="P112" t="s">
        <v>1605</v>
      </c>
    </row>
    <row r="113" spans="1:16" x14ac:dyDescent="0.3">
      <c r="A113" t="s">
        <v>1606</v>
      </c>
      <c r="C113" t="s">
        <v>1346</v>
      </c>
      <c r="D113" t="s">
        <v>408</v>
      </c>
      <c r="E113" t="s">
        <v>409</v>
      </c>
      <c r="G113" t="s">
        <v>20</v>
      </c>
      <c r="H113">
        <v>12000</v>
      </c>
      <c r="I113" s="1" t="s">
        <v>1607</v>
      </c>
      <c r="J113">
        <v>11935.5</v>
      </c>
      <c r="O113" t="s">
        <v>21</v>
      </c>
      <c r="P113" t="s">
        <v>1608</v>
      </c>
    </row>
    <row r="114" spans="1:16" x14ac:dyDescent="0.3">
      <c r="A114" t="s">
        <v>1609</v>
      </c>
      <c r="C114" t="s">
        <v>1346</v>
      </c>
      <c r="D114" t="s">
        <v>1203</v>
      </c>
      <c r="E114" t="s">
        <v>19</v>
      </c>
      <c r="G114" t="s">
        <v>20</v>
      </c>
      <c r="H114">
        <v>8000</v>
      </c>
      <c r="I114">
        <v>32.25</v>
      </c>
      <c r="J114">
        <v>0</v>
      </c>
      <c r="L114">
        <v>12</v>
      </c>
      <c r="M114">
        <v>2.25</v>
      </c>
      <c r="N114">
        <v>0</v>
      </c>
      <c r="O114" t="s">
        <v>412</v>
      </c>
      <c r="P114" t="s">
        <v>1610</v>
      </c>
    </row>
    <row r="115" spans="1:16" x14ac:dyDescent="0.3">
      <c r="A115" t="s">
        <v>1611</v>
      </c>
      <c r="C115" t="s">
        <v>1346</v>
      </c>
      <c r="D115" t="s">
        <v>404</v>
      </c>
      <c r="E115" t="s">
        <v>19</v>
      </c>
      <c r="F115" t="s">
        <v>405</v>
      </c>
      <c r="G115" t="s">
        <v>20</v>
      </c>
      <c r="H115">
        <v>8155</v>
      </c>
      <c r="I115">
        <v>0</v>
      </c>
      <c r="J115">
        <v>0</v>
      </c>
      <c r="O115" t="s">
        <v>21</v>
      </c>
      <c r="P115" t="s">
        <v>1612</v>
      </c>
    </row>
    <row r="116" spans="1:16" x14ac:dyDescent="0.3">
      <c r="A116" t="s">
        <v>1613</v>
      </c>
      <c r="C116" t="s">
        <v>1346</v>
      </c>
      <c r="D116" t="s">
        <v>408</v>
      </c>
      <c r="E116" t="s">
        <v>409</v>
      </c>
      <c r="G116" t="s">
        <v>20</v>
      </c>
      <c r="H116">
        <v>3100</v>
      </c>
      <c r="I116">
        <v>16.662500000000001</v>
      </c>
      <c r="J116">
        <v>3083.3375000000001</v>
      </c>
      <c r="O116" t="s">
        <v>21</v>
      </c>
      <c r="P116" t="s">
        <v>1614</v>
      </c>
    </row>
    <row r="117" spans="1:16" x14ac:dyDescent="0.3">
      <c r="A117" t="s">
        <v>1615</v>
      </c>
      <c r="C117" t="s">
        <v>1346</v>
      </c>
      <c r="D117" t="s">
        <v>408</v>
      </c>
      <c r="E117" t="s">
        <v>409</v>
      </c>
      <c r="G117" t="s">
        <v>20</v>
      </c>
      <c r="H117">
        <v>5100</v>
      </c>
      <c r="I117">
        <v>27.412500000000001</v>
      </c>
      <c r="J117">
        <v>5072.5874999999996</v>
      </c>
      <c r="O117" t="s">
        <v>21</v>
      </c>
      <c r="P117" t="s">
        <v>1616</v>
      </c>
    </row>
    <row r="118" spans="1:16" x14ac:dyDescent="0.3">
      <c r="A118" t="s">
        <v>1617</v>
      </c>
      <c r="B118" s="1" t="s">
        <v>1618</v>
      </c>
      <c r="C118" t="s">
        <v>1346</v>
      </c>
      <c r="D118" t="s">
        <v>1203</v>
      </c>
      <c r="E118" t="s">
        <v>19</v>
      </c>
      <c r="G118" t="s">
        <v>20</v>
      </c>
      <c r="H118">
        <v>102000</v>
      </c>
      <c r="I118">
        <v>32.25</v>
      </c>
      <c r="J118">
        <v>0</v>
      </c>
      <c r="L118">
        <v>12</v>
      </c>
      <c r="M118">
        <v>2.25</v>
      </c>
      <c r="N118">
        <v>0</v>
      </c>
      <c r="O118" t="s">
        <v>21</v>
      </c>
      <c r="P118" t="s">
        <v>1619</v>
      </c>
    </row>
    <row r="119" spans="1:16" x14ac:dyDescent="0.3">
      <c r="A119" t="s">
        <v>1620</v>
      </c>
      <c r="C119" t="s">
        <v>1346</v>
      </c>
      <c r="D119" t="s">
        <v>404</v>
      </c>
      <c r="E119" t="s">
        <v>19</v>
      </c>
      <c r="F119" t="s">
        <v>426</v>
      </c>
      <c r="G119" t="s">
        <v>20</v>
      </c>
      <c r="H119">
        <v>102322</v>
      </c>
      <c r="I119">
        <v>0</v>
      </c>
      <c r="J119">
        <v>0</v>
      </c>
      <c r="O119" t="s">
        <v>21</v>
      </c>
      <c r="P119" t="s">
        <v>1621</v>
      </c>
    </row>
    <row r="120" spans="1:16" x14ac:dyDescent="0.3">
      <c r="A120" t="s">
        <v>1622</v>
      </c>
      <c r="C120" t="s">
        <v>1346</v>
      </c>
      <c r="D120" t="s">
        <v>408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1623</v>
      </c>
    </row>
    <row r="121" spans="1:16" x14ac:dyDescent="0.3">
      <c r="A121" t="s">
        <v>1624</v>
      </c>
      <c r="C121" t="s">
        <v>1346</v>
      </c>
      <c r="D121" t="s">
        <v>408</v>
      </c>
      <c r="E121" t="s">
        <v>409</v>
      </c>
      <c r="G121" t="s">
        <v>20</v>
      </c>
      <c r="H121">
        <v>10000</v>
      </c>
      <c r="I121" s="1" t="s">
        <v>1432</v>
      </c>
      <c r="J121">
        <v>9946.25</v>
      </c>
      <c r="O121" t="s">
        <v>21</v>
      </c>
      <c r="P121" t="s">
        <v>1625</v>
      </c>
    </row>
    <row r="122" spans="1:16" x14ac:dyDescent="0.3">
      <c r="A122" t="s">
        <v>1626</v>
      </c>
      <c r="C122" t="s">
        <v>1346</v>
      </c>
      <c r="D122" t="s">
        <v>408</v>
      </c>
      <c r="E122" t="s">
        <v>409</v>
      </c>
      <c r="G122" t="s">
        <v>20</v>
      </c>
      <c r="H122">
        <v>2000</v>
      </c>
      <c r="I122">
        <v>10.75</v>
      </c>
      <c r="J122">
        <v>1989.25</v>
      </c>
      <c r="O122" t="s">
        <v>21</v>
      </c>
      <c r="P122" t="s">
        <v>1627</v>
      </c>
    </row>
    <row r="123" spans="1:16" x14ac:dyDescent="0.3">
      <c r="A123" t="s">
        <v>1628</v>
      </c>
      <c r="C123" t="s">
        <v>1346</v>
      </c>
      <c r="D123" t="s">
        <v>408</v>
      </c>
      <c r="E123" t="s">
        <v>409</v>
      </c>
      <c r="G123" t="s">
        <v>20</v>
      </c>
      <c r="H123">
        <v>2100</v>
      </c>
      <c r="I123">
        <v>11.2875</v>
      </c>
      <c r="J123">
        <v>2088.7125000000001</v>
      </c>
      <c r="O123" t="s">
        <v>21</v>
      </c>
      <c r="P123" t="s">
        <v>1629</v>
      </c>
    </row>
    <row r="124" spans="1:16" x14ac:dyDescent="0.3">
      <c r="A124" t="s">
        <v>1630</v>
      </c>
      <c r="C124" t="s">
        <v>1346</v>
      </c>
      <c r="D124" t="s">
        <v>408</v>
      </c>
      <c r="E124" t="s">
        <v>409</v>
      </c>
      <c r="G124" t="s">
        <v>20</v>
      </c>
      <c r="H124">
        <v>3300</v>
      </c>
      <c r="I124">
        <v>17.737500000000001</v>
      </c>
      <c r="J124">
        <v>3282.2624999999998</v>
      </c>
      <c r="O124" t="s">
        <v>21</v>
      </c>
      <c r="P124" t="s">
        <v>1631</v>
      </c>
    </row>
    <row r="125" spans="1:16" x14ac:dyDescent="0.3">
      <c r="A125" t="s">
        <v>1632</v>
      </c>
      <c r="C125" t="s">
        <v>1346</v>
      </c>
      <c r="D125" t="s">
        <v>408</v>
      </c>
      <c r="E125" t="s">
        <v>409</v>
      </c>
      <c r="G125" t="s">
        <v>20</v>
      </c>
      <c r="H125">
        <v>71000</v>
      </c>
      <c r="I125">
        <v>107.5</v>
      </c>
      <c r="J125">
        <v>70892.5</v>
      </c>
      <c r="O125" t="s">
        <v>21</v>
      </c>
      <c r="P125" t="s">
        <v>1633</v>
      </c>
    </row>
    <row r="126" spans="1:16" x14ac:dyDescent="0.3">
      <c r="A126" t="s">
        <v>1634</v>
      </c>
      <c r="C126" t="s">
        <v>1346</v>
      </c>
      <c r="D126" t="s">
        <v>408</v>
      </c>
      <c r="E126" t="s">
        <v>409</v>
      </c>
      <c r="G126" t="s">
        <v>20</v>
      </c>
      <c r="H126">
        <v>10200</v>
      </c>
      <c r="I126">
        <v>54.825000000000003</v>
      </c>
      <c r="J126">
        <v>10145.174999999999</v>
      </c>
      <c r="O126" t="s">
        <v>21</v>
      </c>
      <c r="P126" t="s">
        <v>1635</v>
      </c>
    </row>
    <row r="127" spans="1:16" x14ac:dyDescent="0.3">
      <c r="A127" t="s">
        <v>1636</v>
      </c>
      <c r="B127" s="1" t="s">
        <v>1637</v>
      </c>
      <c r="C127" t="s">
        <v>1346</v>
      </c>
      <c r="D127" t="s">
        <v>1203</v>
      </c>
      <c r="E127" t="s">
        <v>19</v>
      </c>
      <c r="G127" t="s">
        <v>20</v>
      </c>
      <c r="H127">
        <v>17000</v>
      </c>
      <c r="I127">
        <v>32.25</v>
      </c>
      <c r="J127">
        <v>0</v>
      </c>
      <c r="L127">
        <v>12</v>
      </c>
      <c r="M127">
        <v>2.25</v>
      </c>
      <c r="N127">
        <v>0</v>
      </c>
      <c r="O127" t="s">
        <v>21</v>
      </c>
      <c r="P127" t="s">
        <v>1638</v>
      </c>
    </row>
    <row r="128" spans="1:16" x14ac:dyDescent="0.3">
      <c r="A128" t="s">
        <v>1639</v>
      </c>
      <c r="C128" t="s">
        <v>1346</v>
      </c>
      <c r="D128" t="s">
        <v>404</v>
      </c>
      <c r="E128" t="s">
        <v>19</v>
      </c>
      <c r="F128" t="s">
        <v>437</v>
      </c>
      <c r="G128" t="s">
        <v>20</v>
      </c>
      <c r="H128">
        <v>16908</v>
      </c>
      <c r="I128">
        <v>0</v>
      </c>
      <c r="J128">
        <v>0</v>
      </c>
      <c r="O128" t="s">
        <v>21</v>
      </c>
      <c r="P128" t="s">
        <v>1640</v>
      </c>
    </row>
    <row r="129" spans="1:16" x14ac:dyDescent="0.3">
      <c r="A129" t="s">
        <v>1641</v>
      </c>
      <c r="C129" t="s">
        <v>1346</v>
      </c>
      <c r="D129" t="s">
        <v>408</v>
      </c>
      <c r="E129" t="s">
        <v>409</v>
      </c>
      <c r="G129" t="s">
        <v>20</v>
      </c>
      <c r="H129">
        <v>4000</v>
      </c>
      <c r="I129">
        <v>21.5</v>
      </c>
      <c r="J129">
        <v>3978.5</v>
      </c>
      <c r="O129" t="s">
        <v>21</v>
      </c>
      <c r="P129" t="s">
        <v>1642</v>
      </c>
    </row>
    <row r="130" spans="1:16" x14ac:dyDescent="0.3">
      <c r="A130" t="s">
        <v>1643</v>
      </c>
      <c r="C130" t="s">
        <v>1346</v>
      </c>
      <c r="D130" t="s">
        <v>408</v>
      </c>
      <c r="E130" t="s">
        <v>409</v>
      </c>
      <c r="G130" t="s">
        <v>20</v>
      </c>
      <c r="H130">
        <v>3000</v>
      </c>
      <c r="I130" s="1" t="s">
        <v>1393</v>
      </c>
      <c r="J130">
        <v>2983.875</v>
      </c>
      <c r="O130" t="s">
        <v>21</v>
      </c>
      <c r="P130" t="s">
        <v>1644</v>
      </c>
    </row>
    <row r="131" spans="1:16" x14ac:dyDescent="0.3">
      <c r="A131" t="s">
        <v>1645</v>
      </c>
      <c r="B131" s="1" t="s">
        <v>1646</v>
      </c>
      <c r="C131" t="s">
        <v>1346</v>
      </c>
      <c r="D131" t="s">
        <v>1203</v>
      </c>
      <c r="E131" t="s">
        <v>19</v>
      </c>
      <c r="G131" t="s">
        <v>20</v>
      </c>
      <c r="H131">
        <v>79000</v>
      </c>
      <c r="I131">
        <v>32.25</v>
      </c>
      <c r="J131">
        <v>0</v>
      </c>
      <c r="L131">
        <v>12</v>
      </c>
      <c r="M131">
        <v>2.25</v>
      </c>
      <c r="N131">
        <v>0</v>
      </c>
      <c r="O131" t="s">
        <v>21</v>
      </c>
      <c r="P131" t="s">
        <v>1647</v>
      </c>
    </row>
    <row r="132" spans="1:16" x14ac:dyDescent="0.3">
      <c r="A132" t="s">
        <v>1648</v>
      </c>
      <c r="C132" t="s">
        <v>1346</v>
      </c>
      <c r="D132" t="s">
        <v>1203</v>
      </c>
      <c r="E132" t="s">
        <v>19</v>
      </c>
      <c r="G132" t="s">
        <v>20</v>
      </c>
      <c r="H132">
        <v>79000</v>
      </c>
      <c r="I132">
        <v>32.25</v>
      </c>
      <c r="J132">
        <v>0</v>
      </c>
      <c r="L132">
        <v>12</v>
      </c>
      <c r="M132">
        <v>2.25</v>
      </c>
      <c r="N132">
        <v>0</v>
      </c>
      <c r="O132" t="s">
        <v>412</v>
      </c>
      <c r="P132" t="s">
        <v>1649</v>
      </c>
    </row>
    <row r="133" spans="1:16" x14ac:dyDescent="0.3">
      <c r="A133" t="s">
        <v>1650</v>
      </c>
      <c r="C133" t="s">
        <v>1346</v>
      </c>
      <c r="D133" t="s">
        <v>1203</v>
      </c>
      <c r="E133" t="s">
        <v>19</v>
      </c>
      <c r="G133" t="s">
        <v>20</v>
      </c>
      <c r="H133">
        <v>79000</v>
      </c>
      <c r="I133">
        <v>32.25</v>
      </c>
      <c r="J133">
        <v>0</v>
      </c>
      <c r="L133">
        <v>12</v>
      </c>
      <c r="M133">
        <v>2.25</v>
      </c>
      <c r="N133">
        <v>0</v>
      </c>
      <c r="O133" t="s">
        <v>412</v>
      </c>
      <c r="P133" t="s">
        <v>1651</v>
      </c>
    </row>
    <row r="134" spans="1:16" x14ac:dyDescent="0.3">
      <c r="A134" t="s">
        <v>1652</v>
      </c>
      <c r="C134" t="s">
        <v>1346</v>
      </c>
      <c r="D134" t="s">
        <v>1203</v>
      </c>
      <c r="E134" t="s">
        <v>19</v>
      </c>
      <c r="G134" t="s">
        <v>20</v>
      </c>
      <c r="H134">
        <v>79000</v>
      </c>
      <c r="I134">
        <v>32.25</v>
      </c>
      <c r="J134">
        <v>0</v>
      </c>
      <c r="L134">
        <v>12</v>
      </c>
      <c r="M134">
        <v>2.25</v>
      </c>
      <c r="N134">
        <v>0</v>
      </c>
      <c r="O134" t="s">
        <v>412</v>
      </c>
      <c r="P134" t="s">
        <v>1653</v>
      </c>
    </row>
    <row r="135" spans="1:16" x14ac:dyDescent="0.3">
      <c r="A135" t="s">
        <v>1654</v>
      </c>
      <c r="C135" t="s">
        <v>1346</v>
      </c>
      <c r="D135" t="s">
        <v>1203</v>
      </c>
      <c r="E135" t="s">
        <v>19</v>
      </c>
      <c r="G135" t="s">
        <v>20</v>
      </c>
      <c r="H135">
        <v>79000</v>
      </c>
      <c r="I135">
        <v>32.25</v>
      </c>
      <c r="J135">
        <v>0</v>
      </c>
      <c r="L135">
        <v>12</v>
      </c>
      <c r="M135">
        <v>2.25</v>
      </c>
      <c r="N135">
        <v>0</v>
      </c>
      <c r="O135" t="s">
        <v>412</v>
      </c>
      <c r="P135" t="s">
        <v>1655</v>
      </c>
    </row>
    <row r="136" spans="1:16" x14ac:dyDescent="0.3">
      <c r="A136" t="s">
        <v>1656</v>
      </c>
      <c r="C136" t="s">
        <v>1346</v>
      </c>
      <c r="D136" t="s">
        <v>1203</v>
      </c>
      <c r="E136" t="s">
        <v>19</v>
      </c>
      <c r="G136" t="s">
        <v>20</v>
      </c>
      <c r="H136">
        <v>79000</v>
      </c>
      <c r="I136">
        <v>32.25</v>
      </c>
      <c r="J136">
        <v>0</v>
      </c>
      <c r="L136">
        <v>12</v>
      </c>
      <c r="M136">
        <v>2.25</v>
      </c>
      <c r="N136">
        <v>0</v>
      </c>
      <c r="O136" t="s">
        <v>412</v>
      </c>
      <c r="P136" t="s">
        <v>1657</v>
      </c>
    </row>
    <row r="137" spans="1:16" x14ac:dyDescent="0.3">
      <c r="A137" t="s">
        <v>1658</v>
      </c>
      <c r="C137" t="s">
        <v>1346</v>
      </c>
      <c r="D137" t="s">
        <v>408</v>
      </c>
      <c r="E137" t="s">
        <v>409</v>
      </c>
      <c r="G137" t="s">
        <v>20</v>
      </c>
      <c r="H137">
        <v>10000</v>
      </c>
      <c r="I137" s="1" t="s">
        <v>1432</v>
      </c>
      <c r="J137">
        <v>9946.25</v>
      </c>
      <c r="O137" t="s">
        <v>21</v>
      </c>
      <c r="P137" t="s">
        <v>1659</v>
      </c>
    </row>
    <row r="138" spans="1:16" x14ac:dyDescent="0.3">
      <c r="A138" t="s">
        <v>1660</v>
      </c>
      <c r="C138" t="s">
        <v>1346</v>
      </c>
      <c r="D138" t="s">
        <v>404</v>
      </c>
      <c r="E138" t="s">
        <v>19</v>
      </c>
      <c r="F138" t="s">
        <v>452</v>
      </c>
      <c r="G138" t="s">
        <v>20</v>
      </c>
      <c r="H138">
        <v>79388</v>
      </c>
      <c r="I138">
        <v>0</v>
      </c>
      <c r="J138">
        <v>0</v>
      </c>
      <c r="O138" t="s">
        <v>21</v>
      </c>
      <c r="P138" t="s">
        <v>1661</v>
      </c>
    </row>
    <row r="139" spans="1:16" x14ac:dyDescent="0.3">
      <c r="A139" t="s">
        <v>1662</v>
      </c>
      <c r="C139" t="s">
        <v>1346</v>
      </c>
      <c r="D139" t="s">
        <v>408</v>
      </c>
      <c r="E139" t="s">
        <v>409</v>
      </c>
      <c r="G139" t="s">
        <v>20</v>
      </c>
      <c r="H139">
        <v>6100</v>
      </c>
      <c r="I139">
        <v>32.787500000000001</v>
      </c>
      <c r="J139">
        <v>6067.2124999999996</v>
      </c>
      <c r="O139" t="s">
        <v>21</v>
      </c>
      <c r="P139" t="s">
        <v>1663</v>
      </c>
    </row>
    <row r="140" spans="1:16" x14ac:dyDescent="0.3">
      <c r="A140" t="s">
        <v>1664</v>
      </c>
      <c r="C140" t="s">
        <v>1346</v>
      </c>
      <c r="D140" t="s">
        <v>408</v>
      </c>
      <c r="E140" t="s">
        <v>409</v>
      </c>
      <c r="G140" t="s">
        <v>20</v>
      </c>
      <c r="H140">
        <v>60300</v>
      </c>
      <c r="I140">
        <v>107.5</v>
      </c>
      <c r="J140">
        <v>60192.5</v>
      </c>
      <c r="O140" t="s">
        <v>21</v>
      </c>
      <c r="P140" t="s">
        <v>1665</v>
      </c>
    </row>
    <row r="141" spans="1:16" x14ac:dyDescent="0.3">
      <c r="A141" t="s">
        <v>1666</v>
      </c>
      <c r="C141" t="s">
        <v>1346</v>
      </c>
      <c r="D141" t="s">
        <v>408</v>
      </c>
      <c r="E141" t="s">
        <v>409</v>
      </c>
      <c r="G141" t="s">
        <v>20</v>
      </c>
      <c r="H141">
        <v>3000</v>
      </c>
      <c r="I141" s="1" t="s">
        <v>1393</v>
      </c>
      <c r="J141">
        <v>2983.875</v>
      </c>
      <c r="O141" t="s">
        <v>21</v>
      </c>
      <c r="P141" t="s">
        <v>1667</v>
      </c>
    </row>
    <row r="142" spans="1:16" x14ac:dyDescent="0.3">
      <c r="A142" t="s">
        <v>1668</v>
      </c>
      <c r="B142" s="1" t="s">
        <v>1669</v>
      </c>
      <c r="C142" t="s">
        <v>1346</v>
      </c>
      <c r="D142" t="s">
        <v>1203</v>
      </c>
      <c r="E142" t="s">
        <v>19</v>
      </c>
      <c r="G142" t="s">
        <v>20</v>
      </c>
      <c r="H142">
        <v>20000</v>
      </c>
      <c r="I142">
        <v>32.25</v>
      </c>
      <c r="J142">
        <v>0</v>
      </c>
      <c r="L142">
        <v>12</v>
      </c>
      <c r="M142">
        <v>2.25</v>
      </c>
      <c r="N142">
        <v>0</v>
      </c>
      <c r="O142" t="s">
        <v>21</v>
      </c>
      <c r="P142" t="s">
        <v>1670</v>
      </c>
    </row>
    <row r="143" spans="1:16" x14ac:dyDescent="0.3">
      <c r="A143" t="s">
        <v>1671</v>
      </c>
      <c r="C143" t="s">
        <v>1346</v>
      </c>
      <c r="D143" t="s">
        <v>408</v>
      </c>
      <c r="E143" t="s">
        <v>409</v>
      </c>
      <c r="G143" t="s">
        <v>20</v>
      </c>
      <c r="H143">
        <v>10200</v>
      </c>
      <c r="I143">
        <v>54.825000000000003</v>
      </c>
      <c r="J143">
        <v>10145.174999999999</v>
      </c>
      <c r="O143" t="s">
        <v>21</v>
      </c>
      <c r="P143" t="s">
        <v>1672</v>
      </c>
    </row>
    <row r="144" spans="1:16" x14ac:dyDescent="0.3">
      <c r="A144" t="s">
        <v>1673</v>
      </c>
      <c r="C144" t="s">
        <v>1346</v>
      </c>
      <c r="D144" t="s">
        <v>404</v>
      </c>
      <c r="E144" t="s">
        <v>19</v>
      </c>
      <c r="F144" t="s">
        <v>463</v>
      </c>
      <c r="G144" t="s">
        <v>20</v>
      </c>
      <c r="H144">
        <v>4475</v>
      </c>
      <c r="I144">
        <v>0</v>
      </c>
      <c r="J144">
        <v>0</v>
      </c>
      <c r="O144" t="s">
        <v>21</v>
      </c>
      <c r="P144" t="s">
        <v>1674</v>
      </c>
    </row>
    <row r="145" spans="1:16" x14ac:dyDescent="0.3">
      <c r="A145" t="s">
        <v>1675</v>
      </c>
      <c r="C145" t="s">
        <v>1346</v>
      </c>
      <c r="D145" t="s">
        <v>408</v>
      </c>
      <c r="E145" t="s">
        <v>409</v>
      </c>
      <c r="G145" t="s">
        <v>20</v>
      </c>
      <c r="H145">
        <v>1900</v>
      </c>
      <c r="I145">
        <v>10.2125</v>
      </c>
      <c r="J145">
        <v>1889.7874999999999</v>
      </c>
      <c r="O145" t="s">
        <v>21</v>
      </c>
      <c r="P145" t="s">
        <v>1676</v>
      </c>
    </row>
    <row r="146" spans="1:16" x14ac:dyDescent="0.3">
      <c r="A146" t="s">
        <v>1677</v>
      </c>
      <c r="C146" t="s">
        <v>1346</v>
      </c>
      <c r="D146" t="s">
        <v>408</v>
      </c>
      <c r="E146" t="s">
        <v>409</v>
      </c>
      <c r="G146" t="s">
        <v>20</v>
      </c>
      <c r="H146">
        <v>2600</v>
      </c>
      <c r="I146">
        <v>13.975</v>
      </c>
      <c r="J146">
        <v>2586.0250000000001</v>
      </c>
      <c r="O146" t="s">
        <v>21</v>
      </c>
      <c r="P146" t="s">
        <v>1678</v>
      </c>
    </row>
    <row r="147" spans="1:16" x14ac:dyDescent="0.3">
      <c r="A147" t="s">
        <v>1679</v>
      </c>
      <c r="C147" t="s">
        <v>1346</v>
      </c>
      <c r="D147" t="s">
        <v>404</v>
      </c>
      <c r="E147" t="s">
        <v>19</v>
      </c>
      <c r="F147" t="s">
        <v>474</v>
      </c>
      <c r="G147" t="s">
        <v>20</v>
      </c>
      <c r="H147">
        <v>7161</v>
      </c>
      <c r="I147">
        <v>0</v>
      </c>
      <c r="J147">
        <v>0</v>
      </c>
      <c r="O147" t="s">
        <v>21</v>
      </c>
      <c r="P147" t="s">
        <v>1680</v>
      </c>
    </row>
    <row r="148" spans="1:16" x14ac:dyDescent="0.3">
      <c r="A148" t="s">
        <v>1681</v>
      </c>
      <c r="C148" t="s">
        <v>1346</v>
      </c>
      <c r="D148" t="s">
        <v>408</v>
      </c>
      <c r="E148" t="s">
        <v>409</v>
      </c>
      <c r="G148" t="s">
        <v>20</v>
      </c>
      <c r="H148">
        <v>2100</v>
      </c>
      <c r="I148">
        <v>11.2875</v>
      </c>
      <c r="J148">
        <v>2088.7125000000001</v>
      </c>
      <c r="O148" t="s">
        <v>21</v>
      </c>
      <c r="P148" t="s">
        <v>1682</v>
      </c>
    </row>
    <row r="149" spans="1:16" x14ac:dyDescent="0.3">
      <c r="A149" t="s">
        <v>1683</v>
      </c>
      <c r="C149" t="s">
        <v>1346</v>
      </c>
      <c r="D149" t="s">
        <v>408</v>
      </c>
      <c r="E149" t="s">
        <v>409</v>
      </c>
      <c r="G149" t="s">
        <v>20</v>
      </c>
      <c r="H149">
        <v>5100</v>
      </c>
      <c r="I149">
        <v>27.412500000000001</v>
      </c>
      <c r="J149">
        <v>5072.5874999999996</v>
      </c>
      <c r="O149" t="s">
        <v>21</v>
      </c>
      <c r="P149" t="s">
        <v>1684</v>
      </c>
    </row>
    <row r="150" spans="1:16" x14ac:dyDescent="0.3">
      <c r="A150" t="s">
        <v>1685</v>
      </c>
      <c r="C150" t="s">
        <v>1346</v>
      </c>
      <c r="D150" t="s">
        <v>404</v>
      </c>
      <c r="E150" t="s">
        <v>19</v>
      </c>
      <c r="F150" t="s">
        <v>485</v>
      </c>
      <c r="G150" t="s">
        <v>20</v>
      </c>
      <c r="H150">
        <v>3481</v>
      </c>
      <c r="I150">
        <v>0</v>
      </c>
      <c r="J150">
        <v>0</v>
      </c>
      <c r="O150" t="s">
        <v>21</v>
      </c>
      <c r="P150" t="s">
        <v>1686</v>
      </c>
    </row>
    <row r="151" spans="1:16" x14ac:dyDescent="0.3">
      <c r="A151" t="s">
        <v>1687</v>
      </c>
      <c r="C151" t="s">
        <v>1346</v>
      </c>
      <c r="D151" t="s">
        <v>408</v>
      </c>
      <c r="E151" t="s">
        <v>409</v>
      </c>
      <c r="G151" t="s">
        <v>20</v>
      </c>
      <c r="H151">
        <v>3500</v>
      </c>
      <c r="I151">
        <v>18.8125</v>
      </c>
      <c r="J151">
        <v>3481.1875</v>
      </c>
      <c r="O151" t="s">
        <v>21</v>
      </c>
      <c r="P151" t="s">
        <v>1688</v>
      </c>
    </row>
    <row r="152" spans="1:16" x14ac:dyDescent="0.3">
      <c r="A152" t="s">
        <v>1689</v>
      </c>
      <c r="C152" t="s">
        <v>1346</v>
      </c>
      <c r="D152" t="s">
        <v>404</v>
      </c>
      <c r="E152" t="s">
        <v>19</v>
      </c>
      <c r="F152" t="s">
        <v>496</v>
      </c>
      <c r="G152" t="s">
        <v>20</v>
      </c>
      <c r="H152">
        <v>4973</v>
      </c>
      <c r="I152">
        <v>0</v>
      </c>
      <c r="J152">
        <v>0</v>
      </c>
      <c r="O152" t="s">
        <v>21</v>
      </c>
      <c r="P152" t="s">
        <v>1690</v>
      </c>
    </row>
    <row r="153" spans="1:16" x14ac:dyDescent="0.3">
      <c r="A153" t="s">
        <v>1691</v>
      </c>
      <c r="B153" s="1" t="s">
        <v>1692</v>
      </c>
      <c r="C153" t="s">
        <v>1346</v>
      </c>
      <c r="D153" t="s">
        <v>1203</v>
      </c>
      <c r="E153" t="s">
        <v>19</v>
      </c>
      <c r="G153" t="s">
        <v>20</v>
      </c>
      <c r="H153">
        <v>21000</v>
      </c>
      <c r="I153">
        <v>32.25</v>
      </c>
      <c r="J153">
        <v>0</v>
      </c>
      <c r="L153">
        <v>12</v>
      </c>
      <c r="M153">
        <v>2.25</v>
      </c>
      <c r="N153">
        <v>0</v>
      </c>
      <c r="O153" t="s">
        <v>21</v>
      </c>
      <c r="P153" t="s">
        <v>1693</v>
      </c>
    </row>
    <row r="154" spans="1:16" x14ac:dyDescent="0.3">
      <c r="A154" t="s">
        <v>1694</v>
      </c>
      <c r="C154" t="s">
        <v>1346</v>
      </c>
      <c r="D154" t="s">
        <v>408</v>
      </c>
      <c r="E154" t="s">
        <v>409</v>
      </c>
      <c r="G154" t="s">
        <v>20</v>
      </c>
      <c r="H154">
        <v>5000</v>
      </c>
      <c r="I154" s="1" t="s">
        <v>1275</v>
      </c>
      <c r="J154">
        <v>4973.125</v>
      </c>
      <c r="O154" t="s">
        <v>21</v>
      </c>
      <c r="P154" t="s">
        <v>1695</v>
      </c>
    </row>
    <row r="155" spans="1:16" x14ac:dyDescent="0.3">
      <c r="A155" t="s">
        <v>1696</v>
      </c>
      <c r="C155" t="s">
        <v>1346</v>
      </c>
      <c r="D155" t="s">
        <v>404</v>
      </c>
      <c r="E155" t="s">
        <v>19</v>
      </c>
      <c r="F155" t="s">
        <v>507</v>
      </c>
      <c r="G155" t="s">
        <v>20</v>
      </c>
      <c r="H155">
        <v>20290</v>
      </c>
      <c r="I155">
        <v>0</v>
      </c>
      <c r="J155">
        <v>0</v>
      </c>
      <c r="O155" t="s">
        <v>21</v>
      </c>
      <c r="P155" t="s">
        <v>1697</v>
      </c>
    </row>
    <row r="156" spans="1:16" x14ac:dyDescent="0.3">
      <c r="A156" t="s">
        <v>1698</v>
      </c>
      <c r="C156" t="s">
        <v>1346</v>
      </c>
      <c r="D156" t="s">
        <v>408</v>
      </c>
      <c r="E156" t="s">
        <v>409</v>
      </c>
      <c r="G156" t="s">
        <v>20</v>
      </c>
      <c r="H156">
        <v>5100</v>
      </c>
      <c r="I156">
        <v>27.412500000000001</v>
      </c>
      <c r="J156">
        <v>5072.5874999999996</v>
      </c>
      <c r="O156" t="s">
        <v>21</v>
      </c>
      <c r="P156" t="s">
        <v>1699</v>
      </c>
    </row>
    <row r="157" spans="1:16" x14ac:dyDescent="0.3">
      <c r="A157" t="s">
        <v>1700</v>
      </c>
      <c r="C157" t="s">
        <v>1346</v>
      </c>
      <c r="D157" t="s">
        <v>408</v>
      </c>
      <c r="E157" t="s">
        <v>409</v>
      </c>
      <c r="G157" t="s">
        <v>20</v>
      </c>
      <c r="H157">
        <v>4100</v>
      </c>
      <c r="I157">
        <v>22.037500000000001</v>
      </c>
      <c r="J157">
        <v>4077.9625000000001</v>
      </c>
      <c r="O157" t="s">
        <v>21</v>
      </c>
      <c r="P157" t="s">
        <v>1701</v>
      </c>
    </row>
    <row r="158" spans="1:16" x14ac:dyDescent="0.3">
      <c r="A158" t="s">
        <v>1702</v>
      </c>
      <c r="C158" t="s">
        <v>1346</v>
      </c>
      <c r="D158" t="s">
        <v>408</v>
      </c>
      <c r="E158" t="s">
        <v>409</v>
      </c>
      <c r="G158" t="s">
        <v>20</v>
      </c>
      <c r="H158">
        <v>5200</v>
      </c>
      <c r="I158">
        <v>27.95</v>
      </c>
      <c r="J158">
        <v>5172.05</v>
      </c>
      <c r="O158" t="s">
        <v>21</v>
      </c>
      <c r="P158" t="s">
        <v>1703</v>
      </c>
    </row>
    <row r="159" spans="1:16" x14ac:dyDescent="0.3">
      <c r="A159" t="s">
        <v>1704</v>
      </c>
      <c r="C159" t="s">
        <v>1346</v>
      </c>
      <c r="D159" t="s">
        <v>408</v>
      </c>
      <c r="E159" t="s">
        <v>409</v>
      </c>
      <c r="G159" t="s">
        <v>20</v>
      </c>
      <c r="H159">
        <v>6000</v>
      </c>
      <c r="I159" s="1" t="s">
        <v>1705</v>
      </c>
      <c r="J159">
        <v>5967.75</v>
      </c>
      <c r="O159" t="s">
        <v>21</v>
      </c>
      <c r="P159" t="s">
        <v>1706</v>
      </c>
    </row>
    <row r="160" spans="1:16" x14ac:dyDescent="0.3">
      <c r="A160" t="s">
        <v>1707</v>
      </c>
      <c r="B160" s="1" t="s">
        <v>1708</v>
      </c>
      <c r="C160" t="s">
        <v>1346</v>
      </c>
      <c r="D160" t="s">
        <v>1203</v>
      </c>
      <c r="E160" t="s">
        <v>19</v>
      </c>
      <c r="G160" t="s">
        <v>20</v>
      </c>
      <c r="H160">
        <v>19000</v>
      </c>
      <c r="I160">
        <v>32.25</v>
      </c>
      <c r="J160">
        <v>0</v>
      </c>
      <c r="L160">
        <v>12</v>
      </c>
      <c r="M160">
        <v>2.25</v>
      </c>
      <c r="N160">
        <v>0</v>
      </c>
      <c r="O160" t="s">
        <v>21</v>
      </c>
      <c r="P160" t="s">
        <v>1709</v>
      </c>
    </row>
    <row r="161" spans="1:16" x14ac:dyDescent="0.3">
      <c r="A161" t="s">
        <v>1710</v>
      </c>
      <c r="C161" t="s">
        <v>1346</v>
      </c>
      <c r="D161" t="s">
        <v>404</v>
      </c>
      <c r="E161" t="s">
        <v>19</v>
      </c>
      <c r="F161" t="s">
        <v>518</v>
      </c>
      <c r="G161" t="s">
        <v>20</v>
      </c>
      <c r="H161">
        <v>19096</v>
      </c>
      <c r="I161">
        <v>0</v>
      </c>
      <c r="J161">
        <v>0</v>
      </c>
      <c r="O161" t="s">
        <v>21</v>
      </c>
      <c r="P161" t="s">
        <v>1711</v>
      </c>
    </row>
    <row r="162" spans="1:16" x14ac:dyDescent="0.3">
      <c r="A162" t="s">
        <v>1712</v>
      </c>
      <c r="C162" t="s">
        <v>1346</v>
      </c>
      <c r="D162" t="s">
        <v>408</v>
      </c>
      <c r="E162" t="s">
        <v>409</v>
      </c>
      <c r="G162" t="s">
        <v>20</v>
      </c>
      <c r="H162">
        <v>5100</v>
      </c>
      <c r="I162">
        <v>27.412500000000001</v>
      </c>
      <c r="J162">
        <v>5072.5874999999996</v>
      </c>
      <c r="O162" t="s">
        <v>21</v>
      </c>
      <c r="P162" t="s">
        <v>1713</v>
      </c>
    </row>
    <row r="163" spans="1:16" x14ac:dyDescent="0.3">
      <c r="A163" t="s">
        <v>1714</v>
      </c>
      <c r="C163" t="s">
        <v>1346</v>
      </c>
      <c r="D163" t="s">
        <v>408</v>
      </c>
      <c r="E163" t="s">
        <v>409</v>
      </c>
      <c r="G163" t="s">
        <v>20</v>
      </c>
      <c r="H163">
        <v>10000</v>
      </c>
      <c r="I163" s="1" t="s">
        <v>1432</v>
      </c>
      <c r="J163">
        <v>9946.25</v>
      </c>
      <c r="O163" t="s">
        <v>21</v>
      </c>
      <c r="P163" t="s">
        <v>1715</v>
      </c>
    </row>
    <row r="164" spans="1:16" x14ac:dyDescent="0.3">
      <c r="A164" t="s">
        <v>1716</v>
      </c>
      <c r="C164" t="s">
        <v>1346</v>
      </c>
      <c r="D164" t="s">
        <v>408</v>
      </c>
      <c r="E164" t="s">
        <v>409</v>
      </c>
      <c r="G164" t="s">
        <v>20</v>
      </c>
      <c r="H164">
        <v>1500</v>
      </c>
      <c r="I164" s="1" t="s">
        <v>1717</v>
      </c>
      <c r="J164">
        <v>1491.9375</v>
      </c>
      <c r="O164" t="s">
        <v>21</v>
      </c>
      <c r="P164" t="s">
        <v>1718</v>
      </c>
    </row>
    <row r="165" spans="1:16" x14ac:dyDescent="0.3">
      <c r="A165" t="s">
        <v>1719</v>
      </c>
      <c r="B165" s="1" t="s">
        <v>1720</v>
      </c>
      <c r="C165" t="s">
        <v>1346</v>
      </c>
      <c r="D165" t="s">
        <v>1203</v>
      </c>
      <c r="E165" t="s">
        <v>19</v>
      </c>
      <c r="G165" t="s">
        <v>20</v>
      </c>
      <c r="H165">
        <v>9000</v>
      </c>
      <c r="I165">
        <v>32.25</v>
      </c>
      <c r="J165">
        <v>0</v>
      </c>
      <c r="L165">
        <v>12</v>
      </c>
      <c r="M165">
        <v>2.25</v>
      </c>
      <c r="N165">
        <v>0</v>
      </c>
      <c r="O165" t="s">
        <v>21</v>
      </c>
      <c r="P165" t="s">
        <v>1721</v>
      </c>
    </row>
    <row r="166" spans="1:16" x14ac:dyDescent="0.3">
      <c r="A166" t="s">
        <v>1722</v>
      </c>
      <c r="C166" t="s">
        <v>1346</v>
      </c>
      <c r="D166" t="s">
        <v>408</v>
      </c>
      <c r="E166" t="s">
        <v>409</v>
      </c>
      <c r="G166" t="s">
        <v>20</v>
      </c>
      <c r="H166">
        <v>1600</v>
      </c>
      <c r="I166">
        <v>8.6</v>
      </c>
      <c r="J166">
        <v>1591.4</v>
      </c>
      <c r="O166" t="s">
        <v>21</v>
      </c>
      <c r="P166" t="s">
        <v>1723</v>
      </c>
    </row>
    <row r="167" spans="1:16" x14ac:dyDescent="0.3">
      <c r="A167" t="s">
        <v>1724</v>
      </c>
      <c r="C167" t="s">
        <v>1346</v>
      </c>
      <c r="D167" t="s">
        <v>408</v>
      </c>
      <c r="E167" t="s">
        <v>409</v>
      </c>
      <c r="G167" t="s">
        <v>20</v>
      </c>
      <c r="H167">
        <v>1000</v>
      </c>
      <c r="I167">
        <v>5.375</v>
      </c>
      <c r="J167">
        <v>994.625</v>
      </c>
      <c r="O167" t="s">
        <v>21</v>
      </c>
      <c r="P167" t="s">
        <v>1725</v>
      </c>
    </row>
    <row r="168" spans="1:16" x14ac:dyDescent="0.3">
      <c r="A168" t="s">
        <v>1726</v>
      </c>
      <c r="C168" t="s">
        <v>1346</v>
      </c>
      <c r="D168" t="s">
        <v>404</v>
      </c>
      <c r="E168" t="s">
        <v>19</v>
      </c>
      <c r="F168" t="s">
        <v>529</v>
      </c>
      <c r="G168" t="s">
        <v>20</v>
      </c>
      <c r="H168">
        <v>8951</v>
      </c>
      <c r="I168">
        <v>0</v>
      </c>
      <c r="J168">
        <v>0</v>
      </c>
      <c r="O168" t="s">
        <v>21</v>
      </c>
      <c r="P168" t="s">
        <v>1727</v>
      </c>
    </row>
    <row r="169" spans="1:16" x14ac:dyDescent="0.3">
      <c r="A169" t="s">
        <v>1728</v>
      </c>
      <c r="C169" t="s">
        <v>1346</v>
      </c>
      <c r="D169" t="s">
        <v>408</v>
      </c>
      <c r="E169" t="s">
        <v>409</v>
      </c>
      <c r="G169" t="s">
        <v>20</v>
      </c>
      <c r="H169">
        <v>5000</v>
      </c>
      <c r="I169" s="1" t="s">
        <v>1275</v>
      </c>
      <c r="J169">
        <v>4973.125</v>
      </c>
      <c r="O169" t="s">
        <v>21</v>
      </c>
      <c r="P169" t="s">
        <v>1729</v>
      </c>
    </row>
    <row r="170" spans="1:16" x14ac:dyDescent="0.3">
      <c r="A170" t="s">
        <v>1730</v>
      </c>
      <c r="C170" t="s">
        <v>1346</v>
      </c>
      <c r="D170" t="s">
        <v>408</v>
      </c>
      <c r="E170" t="s">
        <v>409</v>
      </c>
      <c r="G170" t="s">
        <v>20</v>
      </c>
      <c r="H170">
        <v>4000</v>
      </c>
      <c r="I170">
        <v>21.5</v>
      </c>
      <c r="J170">
        <v>3978.5</v>
      </c>
      <c r="O170" t="s">
        <v>21</v>
      </c>
      <c r="P170" t="s">
        <v>1731</v>
      </c>
    </row>
    <row r="171" spans="1:16" x14ac:dyDescent="0.3">
      <c r="A171" t="s">
        <v>1732</v>
      </c>
      <c r="B171" s="1" t="s">
        <v>1733</v>
      </c>
      <c r="C171" t="s">
        <v>1346</v>
      </c>
      <c r="D171" t="s">
        <v>1203</v>
      </c>
      <c r="E171" t="s">
        <v>19</v>
      </c>
      <c r="G171" t="s">
        <v>20</v>
      </c>
      <c r="H171">
        <v>13000</v>
      </c>
      <c r="I171">
        <v>32.25</v>
      </c>
      <c r="J171">
        <v>0</v>
      </c>
      <c r="L171">
        <v>12</v>
      </c>
      <c r="M171">
        <v>2.25</v>
      </c>
      <c r="N171">
        <v>0</v>
      </c>
      <c r="O171" t="s">
        <v>21</v>
      </c>
      <c r="P171" t="s">
        <v>1734</v>
      </c>
    </row>
    <row r="172" spans="1:16" x14ac:dyDescent="0.3">
      <c r="A172" t="s">
        <v>1735</v>
      </c>
      <c r="C172" t="s">
        <v>1346</v>
      </c>
      <c r="D172" t="s">
        <v>404</v>
      </c>
      <c r="E172" t="s">
        <v>19</v>
      </c>
      <c r="F172" t="s">
        <v>540</v>
      </c>
      <c r="G172" t="s">
        <v>20</v>
      </c>
      <c r="H172">
        <v>13725</v>
      </c>
      <c r="I172">
        <v>0</v>
      </c>
      <c r="J172">
        <v>0</v>
      </c>
      <c r="O172" t="s">
        <v>21</v>
      </c>
      <c r="P172" t="s">
        <v>1736</v>
      </c>
    </row>
    <row r="173" spans="1:16" x14ac:dyDescent="0.3">
      <c r="A173" t="s">
        <v>1737</v>
      </c>
      <c r="C173" t="s">
        <v>1346</v>
      </c>
      <c r="D173" t="s">
        <v>408</v>
      </c>
      <c r="E173" t="s">
        <v>409</v>
      </c>
      <c r="G173" t="s">
        <v>20</v>
      </c>
      <c r="H173">
        <v>10000</v>
      </c>
      <c r="I173" s="1" t="s">
        <v>1432</v>
      </c>
      <c r="J173">
        <v>9946.25</v>
      </c>
      <c r="O173" t="s">
        <v>21</v>
      </c>
      <c r="P173" t="s">
        <v>1738</v>
      </c>
    </row>
    <row r="174" spans="1:16" x14ac:dyDescent="0.3">
      <c r="A174" t="s">
        <v>1739</v>
      </c>
      <c r="B174" s="1" t="s">
        <v>1740</v>
      </c>
      <c r="C174" t="s">
        <v>1346</v>
      </c>
      <c r="D174" t="s">
        <v>1203</v>
      </c>
      <c r="E174" t="s">
        <v>19</v>
      </c>
      <c r="G174" t="s">
        <v>20</v>
      </c>
      <c r="H174">
        <v>86000</v>
      </c>
      <c r="I174">
        <v>32.25</v>
      </c>
      <c r="J174">
        <v>0</v>
      </c>
      <c r="L174">
        <v>12</v>
      </c>
      <c r="M174">
        <v>2.25</v>
      </c>
      <c r="N174">
        <v>0</v>
      </c>
      <c r="O174" t="s">
        <v>21</v>
      </c>
      <c r="P174" t="s">
        <v>1741</v>
      </c>
    </row>
    <row r="175" spans="1:16" x14ac:dyDescent="0.3">
      <c r="A175" t="s">
        <v>1742</v>
      </c>
      <c r="C175" t="s">
        <v>1346</v>
      </c>
      <c r="D175" t="s">
        <v>408</v>
      </c>
      <c r="E175" t="s">
        <v>409</v>
      </c>
      <c r="G175" t="s">
        <v>20</v>
      </c>
      <c r="H175">
        <v>2100</v>
      </c>
      <c r="I175">
        <v>11.2875</v>
      </c>
      <c r="J175">
        <v>2088.7125000000001</v>
      </c>
      <c r="O175" t="s">
        <v>21</v>
      </c>
      <c r="P175" t="s">
        <v>1743</v>
      </c>
    </row>
    <row r="176" spans="1:16" x14ac:dyDescent="0.3">
      <c r="A176" t="s">
        <v>1744</v>
      </c>
      <c r="C176" t="s">
        <v>1346</v>
      </c>
      <c r="D176" t="s">
        <v>408</v>
      </c>
      <c r="E176" t="s">
        <v>409</v>
      </c>
      <c r="G176" t="s">
        <v>20</v>
      </c>
      <c r="H176">
        <v>1700</v>
      </c>
      <c r="I176">
        <v>9.1374999999999993</v>
      </c>
      <c r="J176">
        <v>1690.8625</v>
      </c>
      <c r="O176" t="s">
        <v>21</v>
      </c>
      <c r="P176" t="s">
        <v>1745</v>
      </c>
    </row>
    <row r="177" spans="1:16" x14ac:dyDescent="0.3">
      <c r="A177" t="s">
        <v>1746</v>
      </c>
      <c r="C177" t="s">
        <v>1346</v>
      </c>
      <c r="D177" t="s">
        <v>404</v>
      </c>
      <c r="E177" t="s">
        <v>19</v>
      </c>
      <c r="F177" t="s">
        <v>553</v>
      </c>
      <c r="G177" t="s">
        <v>20</v>
      </c>
      <c r="H177">
        <v>13129</v>
      </c>
      <c r="I177">
        <v>0</v>
      </c>
      <c r="J177">
        <v>0</v>
      </c>
      <c r="O177" t="s">
        <v>21</v>
      </c>
      <c r="P177" t="s">
        <v>1747</v>
      </c>
    </row>
    <row r="178" spans="1:16" x14ac:dyDescent="0.3">
      <c r="A178" t="s">
        <v>1748</v>
      </c>
      <c r="C178" t="s">
        <v>1346</v>
      </c>
      <c r="D178" t="s">
        <v>408</v>
      </c>
      <c r="E178" t="s">
        <v>409</v>
      </c>
      <c r="G178" t="s">
        <v>20</v>
      </c>
      <c r="H178">
        <v>1000</v>
      </c>
      <c r="I178">
        <v>5.375</v>
      </c>
      <c r="J178">
        <v>994.625</v>
      </c>
      <c r="O178" t="s">
        <v>21</v>
      </c>
      <c r="P178" t="s">
        <v>1749</v>
      </c>
    </row>
    <row r="179" spans="1:16" x14ac:dyDescent="0.3">
      <c r="A179" t="s">
        <v>1750</v>
      </c>
      <c r="C179" t="s">
        <v>1346</v>
      </c>
      <c r="D179" t="s">
        <v>408</v>
      </c>
      <c r="E179" t="s">
        <v>409</v>
      </c>
      <c r="G179" t="s">
        <v>20</v>
      </c>
      <c r="H179">
        <v>5100</v>
      </c>
      <c r="I179">
        <v>27.412500000000001</v>
      </c>
      <c r="J179">
        <v>5072.5874999999996</v>
      </c>
      <c r="O179" t="s">
        <v>21</v>
      </c>
      <c r="P179" t="s">
        <v>1751</v>
      </c>
    </row>
    <row r="180" spans="1:16" x14ac:dyDescent="0.3">
      <c r="A180" t="s">
        <v>1752</v>
      </c>
      <c r="C180" t="s">
        <v>1346</v>
      </c>
      <c r="D180" t="s">
        <v>408</v>
      </c>
      <c r="E180" t="s">
        <v>409</v>
      </c>
      <c r="G180" t="s">
        <v>20</v>
      </c>
      <c r="H180">
        <v>1000</v>
      </c>
      <c r="I180">
        <v>5.375</v>
      </c>
      <c r="J180">
        <v>994.625</v>
      </c>
      <c r="O180" t="s">
        <v>21</v>
      </c>
      <c r="P180" t="s">
        <v>1753</v>
      </c>
    </row>
    <row r="181" spans="1:16" x14ac:dyDescent="0.3">
      <c r="A181" t="s">
        <v>1754</v>
      </c>
      <c r="C181" t="s">
        <v>1346</v>
      </c>
      <c r="D181" t="s">
        <v>408</v>
      </c>
      <c r="E181" t="s">
        <v>409</v>
      </c>
      <c r="G181" t="s">
        <v>20</v>
      </c>
      <c r="H181">
        <v>1000</v>
      </c>
      <c r="I181">
        <v>5.375</v>
      </c>
      <c r="J181">
        <v>994.625</v>
      </c>
      <c r="O181" t="s">
        <v>21</v>
      </c>
      <c r="P181" t="s">
        <v>1755</v>
      </c>
    </row>
    <row r="182" spans="1:16" x14ac:dyDescent="0.3">
      <c r="A182" t="s">
        <v>1756</v>
      </c>
      <c r="C182" t="s">
        <v>1346</v>
      </c>
      <c r="D182" t="s">
        <v>408</v>
      </c>
      <c r="E182" t="s">
        <v>409</v>
      </c>
      <c r="G182" t="s">
        <v>20</v>
      </c>
      <c r="H182">
        <v>2000</v>
      </c>
      <c r="I182">
        <v>10.75</v>
      </c>
      <c r="J182">
        <v>1989.25</v>
      </c>
      <c r="O182" t="s">
        <v>21</v>
      </c>
      <c r="P182" t="s">
        <v>1757</v>
      </c>
    </row>
    <row r="183" spans="1:16" x14ac:dyDescent="0.3">
      <c r="A183" t="s">
        <v>1758</v>
      </c>
      <c r="C183" t="s">
        <v>1346</v>
      </c>
      <c r="D183" t="s">
        <v>408</v>
      </c>
      <c r="E183" t="s">
        <v>409</v>
      </c>
      <c r="G183" t="s">
        <v>20</v>
      </c>
      <c r="H183">
        <v>3100</v>
      </c>
      <c r="I183">
        <v>16.662500000000001</v>
      </c>
      <c r="J183">
        <v>3083.3375000000001</v>
      </c>
      <c r="O183" t="s">
        <v>21</v>
      </c>
      <c r="P183" t="s">
        <v>1759</v>
      </c>
    </row>
    <row r="184" spans="1:16" x14ac:dyDescent="0.3">
      <c r="A184" t="s">
        <v>1760</v>
      </c>
      <c r="C184" t="s">
        <v>1346</v>
      </c>
      <c r="D184" t="s">
        <v>404</v>
      </c>
      <c r="E184" t="s">
        <v>19</v>
      </c>
      <c r="F184" t="s">
        <v>564</v>
      </c>
      <c r="G184" t="s">
        <v>20</v>
      </c>
      <c r="H184">
        <v>14919</v>
      </c>
      <c r="I184">
        <v>0</v>
      </c>
      <c r="J184">
        <v>0</v>
      </c>
      <c r="O184" t="s">
        <v>21</v>
      </c>
      <c r="P184" t="s">
        <v>1761</v>
      </c>
    </row>
    <row r="185" spans="1:16" x14ac:dyDescent="0.3">
      <c r="A185" t="s">
        <v>1762</v>
      </c>
      <c r="C185" t="s">
        <v>1346</v>
      </c>
      <c r="D185" t="s">
        <v>408</v>
      </c>
      <c r="E185" t="s">
        <v>409</v>
      </c>
      <c r="G185" t="s">
        <v>20</v>
      </c>
      <c r="H185">
        <v>5000</v>
      </c>
      <c r="I185" s="1" t="s">
        <v>1275</v>
      </c>
      <c r="J185">
        <v>4973.125</v>
      </c>
      <c r="O185" t="s">
        <v>21</v>
      </c>
      <c r="P185" t="s">
        <v>1763</v>
      </c>
    </row>
    <row r="186" spans="1:16" x14ac:dyDescent="0.3">
      <c r="A186" t="s">
        <v>1764</v>
      </c>
      <c r="C186" t="s">
        <v>1346</v>
      </c>
      <c r="D186" t="s">
        <v>408</v>
      </c>
      <c r="E186" t="s">
        <v>409</v>
      </c>
      <c r="G186" t="s">
        <v>20</v>
      </c>
      <c r="H186">
        <v>1600</v>
      </c>
      <c r="I186">
        <v>8.6</v>
      </c>
      <c r="J186">
        <v>1591.4</v>
      </c>
      <c r="O186" t="s">
        <v>412</v>
      </c>
      <c r="P186" t="s">
        <v>1765</v>
      </c>
    </row>
    <row r="187" spans="1:16" x14ac:dyDescent="0.3">
      <c r="A187" t="s">
        <v>1766</v>
      </c>
      <c r="C187" t="s">
        <v>1346</v>
      </c>
      <c r="D187" t="s">
        <v>408</v>
      </c>
      <c r="E187" t="s">
        <v>409</v>
      </c>
      <c r="G187" t="s">
        <v>20</v>
      </c>
      <c r="H187">
        <v>1600</v>
      </c>
      <c r="I187">
        <v>8.6</v>
      </c>
      <c r="J187">
        <v>1591.4</v>
      </c>
      <c r="O187" t="s">
        <v>412</v>
      </c>
      <c r="P187" t="s">
        <v>1767</v>
      </c>
    </row>
    <row r="188" spans="1:16" x14ac:dyDescent="0.3">
      <c r="A188" t="s">
        <v>1768</v>
      </c>
      <c r="C188" t="s">
        <v>1346</v>
      </c>
      <c r="D188" t="s">
        <v>408</v>
      </c>
      <c r="E188" t="s">
        <v>409</v>
      </c>
      <c r="G188" t="s">
        <v>20</v>
      </c>
      <c r="H188">
        <v>1600</v>
      </c>
      <c r="I188">
        <v>8.6</v>
      </c>
      <c r="J188">
        <v>1591.4</v>
      </c>
      <c r="O188" t="s">
        <v>412</v>
      </c>
      <c r="P188" t="s">
        <v>1769</v>
      </c>
    </row>
    <row r="189" spans="1:16" x14ac:dyDescent="0.3">
      <c r="A189" t="s">
        <v>1770</v>
      </c>
      <c r="C189" t="s">
        <v>1346</v>
      </c>
      <c r="D189" t="s">
        <v>408</v>
      </c>
      <c r="E189" t="s">
        <v>409</v>
      </c>
      <c r="G189" t="s">
        <v>20</v>
      </c>
      <c r="H189">
        <v>1600</v>
      </c>
      <c r="I189">
        <v>8.6</v>
      </c>
      <c r="J189">
        <v>1591.4</v>
      </c>
      <c r="O189" t="s">
        <v>412</v>
      </c>
      <c r="P189" t="s">
        <v>1771</v>
      </c>
    </row>
    <row r="190" spans="1:16" x14ac:dyDescent="0.3">
      <c r="A190" t="s">
        <v>1772</v>
      </c>
      <c r="C190" t="s">
        <v>1346</v>
      </c>
      <c r="D190" t="s">
        <v>408</v>
      </c>
      <c r="E190" t="s">
        <v>409</v>
      </c>
      <c r="G190" t="s">
        <v>20</v>
      </c>
      <c r="H190">
        <v>5000</v>
      </c>
      <c r="I190" s="1" t="s">
        <v>1275</v>
      </c>
      <c r="J190">
        <v>4973.125</v>
      </c>
      <c r="O190" t="s">
        <v>21</v>
      </c>
      <c r="P190" t="s">
        <v>1773</v>
      </c>
    </row>
    <row r="191" spans="1:16" x14ac:dyDescent="0.3">
      <c r="A191" t="s">
        <v>1774</v>
      </c>
      <c r="C191" t="s">
        <v>1346</v>
      </c>
      <c r="D191" t="s">
        <v>408</v>
      </c>
      <c r="E191" t="s">
        <v>409</v>
      </c>
      <c r="G191" t="s">
        <v>20</v>
      </c>
      <c r="H191">
        <v>5000</v>
      </c>
      <c r="I191" s="1" t="s">
        <v>1275</v>
      </c>
      <c r="J191">
        <v>4973.125</v>
      </c>
      <c r="O191" t="s">
        <v>21</v>
      </c>
      <c r="P191" t="s">
        <v>1775</v>
      </c>
    </row>
    <row r="192" spans="1:16" x14ac:dyDescent="0.3">
      <c r="A192" t="s">
        <v>1776</v>
      </c>
      <c r="C192" t="s">
        <v>1346</v>
      </c>
      <c r="D192" t="s">
        <v>404</v>
      </c>
      <c r="E192" t="s">
        <v>19</v>
      </c>
      <c r="F192" t="s">
        <v>575</v>
      </c>
      <c r="G192" t="s">
        <v>20</v>
      </c>
      <c r="H192">
        <v>57298</v>
      </c>
      <c r="I192">
        <v>0</v>
      </c>
      <c r="J192">
        <v>0</v>
      </c>
      <c r="O192" t="s">
        <v>21</v>
      </c>
      <c r="P192" t="s">
        <v>1777</v>
      </c>
    </row>
    <row r="193" spans="1:16" x14ac:dyDescent="0.3">
      <c r="A193" t="s">
        <v>1778</v>
      </c>
      <c r="B193" s="1" t="s">
        <v>1779</v>
      </c>
      <c r="C193" t="s">
        <v>1346</v>
      </c>
      <c r="D193" t="s">
        <v>1203</v>
      </c>
      <c r="E193" t="s">
        <v>19</v>
      </c>
      <c r="G193" t="s">
        <v>20</v>
      </c>
      <c r="H193">
        <v>31000</v>
      </c>
      <c r="I193">
        <v>25</v>
      </c>
      <c r="J193">
        <v>0</v>
      </c>
      <c r="O193" t="s">
        <v>21</v>
      </c>
      <c r="P193" t="s">
        <v>1780</v>
      </c>
    </row>
    <row r="194" spans="1:16" x14ac:dyDescent="0.3">
      <c r="A194" t="s">
        <v>1781</v>
      </c>
      <c r="C194" t="s">
        <v>1346</v>
      </c>
      <c r="D194" t="s">
        <v>408</v>
      </c>
      <c r="E194" t="s">
        <v>409</v>
      </c>
      <c r="G194" t="s">
        <v>20</v>
      </c>
      <c r="H194">
        <v>40200</v>
      </c>
      <c r="I194">
        <v>157.5</v>
      </c>
      <c r="J194">
        <v>40042.5</v>
      </c>
      <c r="O194" t="s">
        <v>21</v>
      </c>
      <c r="P194" t="s">
        <v>1782</v>
      </c>
    </row>
    <row r="195" spans="1:16" x14ac:dyDescent="0.3">
      <c r="A195" t="s">
        <v>1783</v>
      </c>
      <c r="C195" t="s">
        <v>1346</v>
      </c>
      <c r="D195" t="s">
        <v>408</v>
      </c>
      <c r="E195" t="s">
        <v>409</v>
      </c>
      <c r="G195" t="s">
        <v>20</v>
      </c>
      <c r="H195">
        <v>5100</v>
      </c>
      <c r="I195">
        <v>27.412500000000001</v>
      </c>
      <c r="J195">
        <v>5072.5874999999996</v>
      </c>
      <c r="O195" t="s">
        <v>21</v>
      </c>
      <c r="P195" t="s">
        <v>1784</v>
      </c>
    </row>
    <row r="196" spans="1:16" x14ac:dyDescent="0.3">
      <c r="A196" t="s">
        <v>1785</v>
      </c>
      <c r="C196" t="s">
        <v>1346</v>
      </c>
      <c r="D196" t="s">
        <v>408</v>
      </c>
      <c r="E196" t="s">
        <v>409</v>
      </c>
      <c r="G196" t="s">
        <v>20</v>
      </c>
      <c r="H196">
        <v>2100</v>
      </c>
      <c r="I196">
        <v>11.2875</v>
      </c>
      <c r="J196">
        <v>2088.7125000000001</v>
      </c>
      <c r="O196" t="s">
        <v>21</v>
      </c>
      <c r="P196" t="s">
        <v>1786</v>
      </c>
    </row>
    <row r="197" spans="1:16" x14ac:dyDescent="0.3">
      <c r="A197" t="s">
        <v>1787</v>
      </c>
      <c r="C197" t="s">
        <v>1346</v>
      </c>
      <c r="D197" t="s">
        <v>408</v>
      </c>
      <c r="E197" t="s">
        <v>409</v>
      </c>
      <c r="G197" t="s">
        <v>20</v>
      </c>
      <c r="H197">
        <v>10200</v>
      </c>
      <c r="I197">
        <v>104.825</v>
      </c>
      <c r="J197">
        <v>10095.174999999999</v>
      </c>
      <c r="O197" t="s">
        <v>21</v>
      </c>
      <c r="P197" t="s">
        <v>1788</v>
      </c>
    </row>
    <row r="198" spans="1:16" x14ac:dyDescent="0.3">
      <c r="A198" t="s">
        <v>1789</v>
      </c>
      <c r="C198" t="s">
        <v>1346</v>
      </c>
      <c r="D198" t="s">
        <v>404</v>
      </c>
      <c r="E198" t="s">
        <v>19</v>
      </c>
      <c r="F198" t="s">
        <v>586</v>
      </c>
      <c r="G198" t="s">
        <v>20</v>
      </c>
      <c r="H198">
        <v>31092</v>
      </c>
      <c r="I198">
        <v>0</v>
      </c>
      <c r="J198">
        <v>0</v>
      </c>
      <c r="O198" t="s">
        <v>21</v>
      </c>
      <c r="P198" t="s">
        <v>1790</v>
      </c>
    </row>
    <row r="199" spans="1:16" x14ac:dyDescent="0.3">
      <c r="A199" t="s">
        <v>1791</v>
      </c>
      <c r="C199" t="s">
        <v>1346</v>
      </c>
      <c r="D199" t="s">
        <v>408</v>
      </c>
      <c r="E199" t="s">
        <v>409</v>
      </c>
      <c r="G199" t="s">
        <v>20</v>
      </c>
      <c r="H199">
        <v>1100</v>
      </c>
      <c r="I199">
        <v>5.9124999999999996</v>
      </c>
      <c r="J199">
        <v>1094.0875000000001</v>
      </c>
      <c r="O199" t="s">
        <v>21</v>
      </c>
      <c r="P199" t="s">
        <v>1792</v>
      </c>
    </row>
    <row r="200" spans="1:16" x14ac:dyDescent="0.3">
      <c r="A200" t="s">
        <v>1793</v>
      </c>
      <c r="C200" t="s">
        <v>1346</v>
      </c>
      <c r="D200" t="s">
        <v>408</v>
      </c>
      <c r="E200" t="s">
        <v>409</v>
      </c>
      <c r="G200" t="s">
        <v>20</v>
      </c>
      <c r="H200">
        <v>5100</v>
      </c>
      <c r="I200">
        <v>27.412500000000001</v>
      </c>
      <c r="J200">
        <v>5072.5874999999996</v>
      </c>
      <c r="O200" t="s">
        <v>21</v>
      </c>
      <c r="P200" t="s">
        <v>1794</v>
      </c>
    </row>
    <row r="201" spans="1:16" x14ac:dyDescent="0.3">
      <c r="A201" t="s">
        <v>1795</v>
      </c>
      <c r="C201" t="s">
        <v>1346</v>
      </c>
      <c r="D201" t="s">
        <v>408</v>
      </c>
      <c r="E201" t="s">
        <v>409</v>
      </c>
      <c r="G201" t="s">
        <v>20</v>
      </c>
      <c r="H201">
        <v>22000</v>
      </c>
      <c r="I201">
        <v>157.5</v>
      </c>
      <c r="J201">
        <v>21842.5</v>
      </c>
      <c r="O201" t="s">
        <v>21</v>
      </c>
      <c r="P201" t="s">
        <v>1796</v>
      </c>
    </row>
    <row r="202" spans="1:16" x14ac:dyDescent="0.3">
      <c r="A202" t="s">
        <v>1797</v>
      </c>
      <c r="B202" s="1" t="s">
        <v>1798</v>
      </c>
      <c r="C202" t="s">
        <v>1346</v>
      </c>
      <c r="D202" t="s">
        <v>1203</v>
      </c>
      <c r="E202" t="s">
        <v>19</v>
      </c>
      <c r="G202" t="s">
        <v>20</v>
      </c>
      <c r="H202">
        <v>47000</v>
      </c>
      <c r="I202">
        <v>25</v>
      </c>
      <c r="J202">
        <v>0</v>
      </c>
      <c r="O202" t="s">
        <v>21</v>
      </c>
      <c r="P202" t="s">
        <v>1799</v>
      </c>
    </row>
    <row r="203" spans="1:16" x14ac:dyDescent="0.3">
      <c r="A203" t="s">
        <v>1800</v>
      </c>
      <c r="C203" t="s">
        <v>1346</v>
      </c>
      <c r="D203" t="s">
        <v>408</v>
      </c>
      <c r="E203" t="s">
        <v>409</v>
      </c>
      <c r="G203" t="s">
        <v>20</v>
      </c>
      <c r="H203">
        <v>3100</v>
      </c>
      <c r="I203">
        <v>16.662500000000001</v>
      </c>
      <c r="J203">
        <v>3083.3375000000001</v>
      </c>
      <c r="O203" t="s">
        <v>21</v>
      </c>
      <c r="P203" t="s">
        <v>1801</v>
      </c>
    </row>
    <row r="204" spans="1:16" x14ac:dyDescent="0.3">
      <c r="A204" t="s">
        <v>1802</v>
      </c>
      <c r="C204" t="s">
        <v>1346</v>
      </c>
      <c r="D204" t="s">
        <v>404</v>
      </c>
      <c r="E204" t="s">
        <v>19</v>
      </c>
      <c r="F204" t="s">
        <v>597</v>
      </c>
      <c r="G204" t="s">
        <v>20</v>
      </c>
      <c r="H204">
        <v>46896</v>
      </c>
      <c r="I204">
        <v>0</v>
      </c>
      <c r="J204">
        <v>0</v>
      </c>
      <c r="O204" t="s">
        <v>21</v>
      </c>
      <c r="P204" t="s">
        <v>1803</v>
      </c>
    </row>
    <row r="205" spans="1:16" x14ac:dyDescent="0.3">
      <c r="A205" t="s">
        <v>1804</v>
      </c>
      <c r="C205" t="s">
        <v>1346</v>
      </c>
      <c r="D205" t="s">
        <v>408</v>
      </c>
      <c r="E205" t="s">
        <v>409</v>
      </c>
      <c r="G205" t="s">
        <v>20</v>
      </c>
      <c r="H205">
        <v>5100</v>
      </c>
      <c r="I205">
        <v>27.412500000000001</v>
      </c>
      <c r="J205">
        <v>5072.5874999999996</v>
      </c>
      <c r="O205" t="s">
        <v>21</v>
      </c>
      <c r="P205" t="s">
        <v>1805</v>
      </c>
    </row>
    <row r="206" spans="1:16" x14ac:dyDescent="0.3">
      <c r="A206" t="s">
        <v>1806</v>
      </c>
      <c r="C206" t="s">
        <v>1346</v>
      </c>
      <c r="D206" t="s">
        <v>408</v>
      </c>
      <c r="E206" t="s">
        <v>409</v>
      </c>
      <c r="G206" t="s">
        <v>20</v>
      </c>
      <c r="H206">
        <v>5200</v>
      </c>
      <c r="I206">
        <v>27.95</v>
      </c>
      <c r="J206">
        <v>5172.05</v>
      </c>
      <c r="O206" t="s">
        <v>21</v>
      </c>
      <c r="P206" t="s">
        <v>1807</v>
      </c>
    </row>
    <row r="207" spans="1:16" x14ac:dyDescent="0.3">
      <c r="A207" t="s">
        <v>1808</v>
      </c>
      <c r="B207" s="1" t="s">
        <v>1809</v>
      </c>
      <c r="C207" t="s">
        <v>1346</v>
      </c>
      <c r="D207" t="s">
        <v>1203</v>
      </c>
      <c r="E207" t="s">
        <v>19</v>
      </c>
      <c r="G207" t="s">
        <v>20</v>
      </c>
      <c r="H207">
        <v>22000</v>
      </c>
      <c r="I207">
        <v>25</v>
      </c>
      <c r="J207">
        <v>0</v>
      </c>
      <c r="O207" t="s">
        <v>21</v>
      </c>
      <c r="P207" t="s">
        <v>1810</v>
      </c>
    </row>
    <row r="208" spans="1:16" x14ac:dyDescent="0.3">
      <c r="A208" t="s">
        <v>1811</v>
      </c>
      <c r="C208" t="s">
        <v>1346</v>
      </c>
      <c r="D208" t="s">
        <v>408</v>
      </c>
      <c r="E208" t="s">
        <v>409</v>
      </c>
      <c r="G208" t="s">
        <v>20</v>
      </c>
      <c r="H208">
        <v>2100</v>
      </c>
      <c r="I208">
        <v>11.2875</v>
      </c>
      <c r="J208">
        <v>2088.7125000000001</v>
      </c>
      <c r="O208" t="s">
        <v>21</v>
      </c>
      <c r="P208" t="s">
        <v>1812</v>
      </c>
    </row>
    <row r="209" spans="1:16" x14ac:dyDescent="0.3">
      <c r="A209" t="s">
        <v>1813</v>
      </c>
      <c r="C209" t="s">
        <v>1346</v>
      </c>
      <c r="D209" t="s">
        <v>408</v>
      </c>
      <c r="E209" t="s">
        <v>409</v>
      </c>
      <c r="G209" t="s">
        <v>20</v>
      </c>
      <c r="H209">
        <v>5100</v>
      </c>
      <c r="I209">
        <v>27.412500000000001</v>
      </c>
      <c r="J209">
        <v>5072.5874999999996</v>
      </c>
      <c r="O209" t="s">
        <v>21</v>
      </c>
      <c r="P209" t="s">
        <v>1814</v>
      </c>
    </row>
    <row r="210" spans="1:16" x14ac:dyDescent="0.3">
      <c r="A210" t="s">
        <v>1815</v>
      </c>
      <c r="C210" t="s">
        <v>1346</v>
      </c>
      <c r="D210" t="s">
        <v>408</v>
      </c>
      <c r="E210" t="s">
        <v>409</v>
      </c>
      <c r="G210" t="s">
        <v>20</v>
      </c>
      <c r="H210">
        <v>9600</v>
      </c>
      <c r="I210" s="1" t="s">
        <v>1816</v>
      </c>
      <c r="J210">
        <v>9548.4</v>
      </c>
      <c r="O210" t="s">
        <v>21</v>
      </c>
      <c r="P210" t="s">
        <v>1817</v>
      </c>
    </row>
    <row r="211" spans="1:16" x14ac:dyDescent="0.3">
      <c r="A211" t="s">
        <v>1818</v>
      </c>
      <c r="C211" t="s">
        <v>1346</v>
      </c>
      <c r="D211" t="s">
        <v>408</v>
      </c>
      <c r="E211" t="s">
        <v>409</v>
      </c>
      <c r="G211" t="s">
        <v>20</v>
      </c>
      <c r="H211">
        <v>5100</v>
      </c>
      <c r="I211">
        <v>27.412500000000001</v>
      </c>
      <c r="J211">
        <v>5072.5874999999996</v>
      </c>
      <c r="O211" t="s">
        <v>21</v>
      </c>
      <c r="P211" t="s">
        <v>1819</v>
      </c>
    </row>
    <row r="212" spans="1:16" x14ac:dyDescent="0.3">
      <c r="A212" t="s">
        <v>1820</v>
      </c>
      <c r="C212" t="s">
        <v>1346</v>
      </c>
      <c r="D212" t="s">
        <v>408</v>
      </c>
      <c r="E212" t="s">
        <v>409</v>
      </c>
      <c r="G212" t="s">
        <v>20</v>
      </c>
      <c r="H212">
        <v>15000</v>
      </c>
      <c r="I212">
        <v>130.625</v>
      </c>
      <c r="J212">
        <v>14869.375</v>
      </c>
      <c r="O212" t="s">
        <v>21</v>
      </c>
      <c r="P212" t="s">
        <v>1821</v>
      </c>
    </row>
    <row r="213" spans="1:16" x14ac:dyDescent="0.3">
      <c r="A213" t="s">
        <v>1822</v>
      </c>
      <c r="C213" t="s">
        <v>1346</v>
      </c>
      <c r="D213" t="s">
        <v>404</v>
      </c>
      <c r="E213" t="s">
        <v>19</v>
      </c>
      <c r="F213" t="s">
        <v>608</v>
      </c>
      <c r="G213" t="s">
        <v>20</v>
      </c>
      <c r="H213">
        <v>22428</v>
      </c>
      <c r="I213">
        <v>0</v>
      </c>
      <c r="J213">
        <v>0</v>
      </c>
      <c r="O213" t="s">
        <v>21</v>
      </c>
      <c r="P213" t="s">
        <v>1823</v>
      </c>
    </row>
    <row r="214" spans="1:16" x14ac:dyDescent="0.3">
      <c r="A214" t="s">
        <v>1824</v>
      </c>
      <c r="C214" t="s">
        <v>1346</v>
      </c>
      <c r="D214" t="s">
        <v>408</v>
      </c>
      <c r="E214" t="s">
        <v>409</v>
      </c>
      <c r="G214" t="s">
        <v>20</v>
      </c>
      <c r="H214">
        <v>5100</v>
      </c>
      <c r="I214">
        <v>27.412500000000001</v>
      </c>
      <c r="J214">
        <v>5072.5874999999996</v>
      </c>
      <c r="O214" t="s">
        <v>21</v>
      </c>
      <c r="P214" t="s">
        <v>1825</v>
      </c>
    </row>
    <row r="215" spans="1:16" x14ac:dyDescent="0.3">
      <c r="A215" t="s">
        <v>1826</v>
      </c>
      <c r="C215" t="s">
        <v>1346</v>
      </c>
      <c r="D215" t="s">
        <v>408</v>
      </c>
      <c r="E215" t="s">
        <v>409</v>
      </c>
      <c r="G215" t="s">
        <v>20</v>
      </c>
      <c r="H215">
        <v>17500</v>
      </c>
      <c r="I215">
        <v>144.0625</v>
      </c>
      <c r="J215">
        <v>17355.9375</v>
      </c>
      <c r="O215" t="s">
        <v>21</v>
      </c>
      <c r="P215" t="s">
        <v>1827</v>
      </c>
    </row>
    <row r="216" spans="1:16" x14ac:dyDescent="0.3">
      <c r="A216" t="s">
        <v>1828</v>
      </c>
      <c r="B216" s="1" t="s">
        <v>1829</v>
      </c>
      <c r="C216" t="s">
        <v>1346</v>
      </c>
      <c r="D216" t="s">
        <v>1203</v>
      </c>
      <c r="E216" t="s">
        <v>19</v>
      </c>
      <c r="G216" t="s">
        <v>20</v>
      </c>
      <c r="H216">
        <v>29000</v>
      </c>
      <c r="I216">
        <v>25</v>
      </c>
      <c r="J216">
        <v>0</v>
      </c>
      <c r="O216" t="s">
        <v>21</v>
      </c>
      <c r="P216" t="s">
        <v>1830</v>
      </c>
    </row>
    <row r="217" spans="1:16" x14ac:dyDescent="0.3">
      <c r="A217" t="s">
        <v>1831</v>
      </c>
      <c r="C217" t="s">
        <v>1346</v>
      </c>
      <c r="D217" t="s">
        <v>404</v>
      </c>
      <c r="E217" t="s">
        <v>19</v>
      </c>
      <c r="F217" t="s">
        <v>619</v>
      </c>
      <c r="G217" t="s">
        <v>20</v>
      </c>
      <c r="H217">
        <v>28625</v>
      </c>
      <c r="I217">
        <v>0</v>
      </c>
      <c r="J217">
        <v>0</v>
      </c>
      <c r="O217" t="s">
        <v>21</v>
      </c>
      <c r="P217" t="s">
        <v>1832</v>
      </c>
    </row>
    <row r="218" spans="1:16" x14ac:dyDescent="0.3">
      <c r="A218" t="s">
        <v>1833</v>
      </c>
      <c r="C218" t="s">
        <v>1346</v>
      </c>
      <c r="D218" t="s">
        <v>408</v>
      </c>
      <c r="E218" t="s">
        <v>409</v>
      </c>
      <c r="G218" t="s">
        <v>20</v>
      </c>
      <c r="H218">
        <v>25700</v>
      </c>
      <c r="I218">
        <v>157.5</v>
      </c>
      <c r="J218">
        <v>25542.5</v>
      </c>
      <c r="O218" t="s">
        <v>21</v>
      </c>
      <c r="P218" t="s">
        <v>1834</v>
      </c>
    </row>
    <row r="219" spans="1:16" x14ac:dyDescent="0.3">
      <c r="A219" t="s">
        <v>1835</v>
      </c>
      <c r="B219" s="1" t="s">
        <v>1836</v>
      </c>
      <c r="C219" t="s">
        <v>1346</v>
      </c>
      <c r="D219" t="s">
        <v>1203</v>
      </c>
      <c r="E219" t="s">
        <v>19</v>
      </c>
      <c r="G219" t="s">
        <v>20</v>
      </c>
      <c r="H219">
        <v>9000</v>
      </c>
      <c r="I219">
        <v>25</v>
      </c>
      <c r="J219">
        <v>0</v>
      </c>
      <c r="O219" t="s">
        <v>21</v>
      </c>
      <c r="P219" t="s">
        <v>1837</v>
      </c>
    </row>
    <row r="220" spans="1:16" x14ac:dyDescent="0.3">
      <c r="A220" t="s">
        <v>1838</v>
      </c>
      <c r="C220" t="s">
        <v>1346</v>
      </c>
      <c r="D220" t="s">
        <v>408</v>
      </c>
      <c r="E220" t="s">
        <v>409</v>
      </c>
      <c r="G220" t="s">
        <v>20</v>
      </c>
      <c r="H220">
        <v>3100</v>
      </c>
      <c r="I220">
        <v>16.662500000000001</v>
      </c>
      <c r="J220">
        <v>3083.3375000000001</v>
      </c>
      <c r="O220" t="s">
        <v>21</v>
      </c>
      <c r="P220" t="s">
        <v>1839</v>
      </c>
    </row>
    <row r="221" spans="1:16" x14ac:dyDescent="0.3">
      <c r="A221" t="s">
        <v>1840</v>
      </c>
      <c r="C221" t="s">
        <v>1346</v>
      </c>
      <c r="D221" t="s">
        <v>404</v>
      </c>
      <c r="E221" t="s">
        <v>19</v>
      </c>
      <c r="F221" t="s">
        <v>630</v>
      </c>
      <c r="G221" t="s">
        <v>20</v>
      </c>
      <c r="H221">
        <v>8056</v>
      </c>
      <c r="I221">
        <v>0</v>
      </c>
      <c r="J221">
        <v>0</v>
      </c>
      <c r="O221" t="s">
        <v>21</v>
      </c>
      <c r="P221" t="s">
        <v>1841</v>
      </c>
    </row>
    <row r="222" spans="1:16" x14ac:dyDescent="0.3">
      <c r="A222" t="s">
        <v>1842</v>
      </c>
      <c r="C222" t="s">
        <v>1346</v>
      </c>
      <c r="D222" t="s">
        <v>408</v>
      </c>
      <c r="E222" t="s">
        <v>409</v>
      </c>
      <c r="G222" t="s">
        <v>20</v>
      </c>
      <c r="H222">
        <v>5000</v>
      </c>
      <c r="I222" s="1" t="s">
        <v>1275</v>
      </c>
      <c r="J222">
        <v>4973.125</v>
      </c>
      <c r="O222" t="s">
        <v>21</v>
      </c>
      <c r="P222" t="s">
        <v>1843</v>
      </c>
    </row>
    <row r="223" spans="1:16" x14ac:dyDescent="0.3">
      <c r="A223" t="s">
        <v>1844</v>
      </c>
      <c r="C223" t="s">
        <v>1346</v>
      </c>
      <c r="D223" t="s">
        <v>408</v>
      </c>
      <c r="E223" t="s">
        <v>409</v>
      </c>
      <c r="G223" t="s">
        <v>20</v>
      </c>
      <c r="H223">
        <v>3100</v>
      </c>
      <c r="I223">
        <v>16.662500000000001</v>
      </c>
      <c r="J223">
        <v>3083.3375000000001</v>
      </c>
      <c r="O223" t="s">
        <v>21</v>
      </c>
      <c r="P223" t="s">
        <v>1845</v>
      </c>
    </row>
    <row r="224" spans="1:16" x14ac:dyDescent="0.3">
      <c r="A224" t="s">
        <v>1846</v>
      </c>
      <c r="C224" t="s">
        <v>1346</v>
      </c>
      <c r="D224" t="s">
        <v>404</v>
      </c>
      <c r="E224" t="s">
        <v>19</v>
      </c>
      <c r="F224" t="s">
        <v>641</v>
      </c>
      <c r="G224" t="s">
        <v>20</v>
      </c>
      <c r="H224">
        <v>1094</v>
      </c>
      <c r="I224">
        <v>0</v>
      </c>
      <c r="J224">
        <v>0</v>
      </c>
      <c r="O224" t="s">
        <v>21</v>
      </c>
      <c r="P224" t="s">
        <v>1847</v>
      </c>
    </row>
    <row r="225" spans="1:16" x14ac:dyDescent="0.3">
      <c r="A225" t="s">
        <v>1848</v>
      </c>
      <c r="C225" t="s">
        <v>1346</v>
      </c>
      <c r="D225" t="s">
        <v>408</v>
      </c>
      <c r="E225" t="s">
        <v>409</v>
      </c>
      <c r="G225" t="s">
        <v>20</v>
      </c>
      <c r="H225">
        <v>1100</v>
      </c>
      <c r="I225">
        <v>5.9124999999999996</v>
      </c>
      <c r="J225">
        <v>1094.0875000000001</v>
      </c>
      <c r="O225" t="s">
        <v>21</v>
      </c>
      <c r="P225" t="s">
        <v>1849</v>
      </c>
    </row>
    <row r="226" spans="1:16" x14ac:dyDescent="0.3">
      <c r="A226" t="s">
        <v>1850</v>
      </c>
      <c r="B226" s="1" t="s">
        <v>1851</v>
      </c>
      <c r="C226" t="s">
        <v>1346</v>
      </c>
      <c r="D226" t="s">
        <v>1203</v>
      </c>
      <c r="E226" t="s">
        <v>19</v>
      </c>
      <c r="G226" t="s">
        <v>20</v>
      </c>
      <c r="H226">
        <v>9000</v>
      </c>
      <c r="I226">
        <v>25</v>
      </c>
      <c r="J226">
        <v>0</v>
      </c>
      <c r="O226" t="s">
        <v>21</v>
      </c>
      <c r="P226" t="s">
        <v>1852</v>
      </c>
    </row>
    <row r="227" spans="1:16" x14ac:dyDescent="0.3">
      <c r="A227" t="s">
        <v>1853</v>
      </c>
      <c r="C227" t="s">
        <v>1346</v>
      </c>
      <c r="D227" t="s">
        <v>404</v>
      </c>
      <c r="E227" t="s">
        <v>19</v>
      </c>
      <c r="F227" t="s">
        <v>1854</v>
      </c>
      <c r="G227" t="s">
        <v>20</v>
      </c>
      <c r="H227">
        <v>9051</v>
      </c>
      <c r="I227">
        <v>0</v>
      </c>
      <c r="J227">
        <v>0</v>
      </c>
      <c r="O227" t="s">
        <v>21</v>
      </c>
      <c r="P227" t="s">
        <v>1855</v>
      </c>
    </row>
    <row r="228" spans="1:16" x14ac:dyDescent="0.3">
      <c r="A228" t="s">
        <v>1856</v>
      </c>
      <c r="C228" t="s">
        <v>1346</v>
      </c>
      <c r="D228" t="s">
        <v>408</v>
      </c>
      <c r="E228" t="s">
        <v>409</v>
      </c>
      <c r="G228" t="s">
        <v>20</v>
      </c>
      <c r="H228">
        <v>1000</v>
      </c>
      <c r="I228">
        <v>5.375</v>
      </c>
      <c r="J228">
        <v>994.625</v>
      </c>
      <c r="O228" t="s">
        <v>21</v>
      </c>
      <c r="P228" t="s">
        <v>1857</v>
      </c>
    </row>
    <row r="229" spans="1:16" x14ac:dyDescent="0.3">
      <c r="A229" t="s">
        <v>1858</v>
      </c>
      <c r="C229" t="s">
        <v>1346</v>
      </c>
      <c r="D229" t="s">
        <v>408</v>
      </c>
      <c r="E229" t="s">
        <v>409</v>
      </c>
      <c r="G229" t="s">
        <v>20</v>
      </c>
      <c r="H229">
        <v>5000</v>
      </c>
      <c r="I229" s="1" t="s">
        <v>1275</v>
      </c>
      <c r="J229">
        <v>4973.125</v>
      </c>
      <c r="O229" t="s">
        <v>21</v>
      </c>
      <c r="P229" t="s">
        <v>1859</v>
      </c>
    </row>
    <row r="230" spans="1:16" x14ac:dyDescent="0.3">
      <c r="A230" t="s">
        <v>1860</v>
      </c>
      <c r="B230" s="1" t="s">
        <v>1861</v>
      </c>
      <c r="C230" t="s">
        <v>1346</v>
      </c>
      <c r="D230" t="s">
        <v>1203</v>
      </c>
      <c r="E230" t="s">
        <v>19</v>
      </c>
      <c r="G230" t="s">
        <v>20</v>
      </c>
      <c r="H230">
        <v>53000</v>
      </c>
      <c r="I230">
        <v>25</v>
      </c>
      <c r="J230">
        <v>0</v>
      </c>
      <c r="O230" t="s">
        <v>21</v>
      </c>
      <c r="P230" t="s">
        <v>1862</v>
      </c>
    </row>
    <row r="231" spans="1:16" x14ac:dyDescent="0.3">
      <c r="A231" t="s">
        <v>1863</v>
      </c>
      <c r="C231" t="s">
        <v>1346</v>
      </c>
      <c r="D231" t="s">
        <v>408</v>
      </c>
      <c r="E231" t="s">
        <v>409</v>
      </c>
      <c r="G231" t="s">
        <v>20</v>
      </c>
      <c r="H231">
        <v>3100</v>
      </c>
      <c r="I231">
        <v>16.662500000000001</v>
      </c>
      <c r="J231">
        <v>3083.3375000000001</v>
      </c>
      <c r="O231" t="s">
        <v>21</v>
      </c>
      <c r="P231" t="s">
        <v>1864</v>
      </c>
    </row>
    <row r="232" spans="1:16" x14ac:dyDescent="0.3">
      <c r="A232" t="s">
        <v>1865</v>
      </c>
      <c r="C232" t="s">
        <v>1346</v>
      </c>
      <c r="D232" t="s">
        <v>1203</v>
      </c>
      <c r="E232" t="s">
        <v>19</v>
      </c>
      <c r="G232" t="s">
        <v>20</v>
      </c>
      <c r="H232">
        <v>53000</v>
      </c>
      <c r="I232">
        <v>25</v>
      </c>
      <c r="J232">
        <v>0</v>
      </c>
      <c r="O232" t="s">
        <v>412</v>
      </c>
      <c r="P232" t="s">
        <v>1866</v>
      </c>
    </row>
    <row r="233" spans="1:16" x14ac:dyDescent="0.3">
      <c r="A233" t="s">
        <v>1867</v>
      </c>
      <c r="C233" t="s">
        <v>1346</v>
      </c>
      <c r="D233" t="s">
        <v>404</v>
      </c>
      <c r="E233" t="s">
        <v>19</v>
      </c>
      <c r="F233" t="s">
        <v>665</v>
      </c>
      <c r="G233" t="s">
        <v>20</v>
      </c>
      <c r="H233">
        <v>53010</v>
      </c>
      <c r="I233">
        <v>0</v>
      </c>
      <c r="J233">
        <v>0</v>
      </c>
      <c r="O233" t="s">
        <v>21</v>
      </c>
      <c r="P233" t="s">
        <v>1868</v>
      </c>
    </row>
    <row r="234" spans="1:16" x14ac:dyDescent="0.3">
      <c r="A234" t="s">
        <v>1869</v>
      </c>
      <c r="C234" t="s">
        <v>1346</v>
      </c>
      <c r="D234" t="s">
        <v>408</v>
      </c>
      <c r="E234" t="s">
        <v>409</v>
      </c>
      <c r="G234" t="s">
        <v>20</v>
      </c>
      <c r="H234">
        <v>10200</v>
      </c>
      <c r="I234">
        <v>104.825</v>
      </c>
      <c r="J234">
        <v>10095.174999999999</v>
      </c>
      <c r="O234" t="s">
        <v>21</v>
      </c>
      <c r="P234" t="s">
        <v>1870</v>
      </c>
    </row>
    <row r="235" spans="1:16" x14ac:dyDescent="0.3">
      <c r="A235" t="s">
        <v>1871</v>
      </c>
      <c r="C235" t="s">
        <v>1346</v>
      </c>
      <c r="D235" t="s">
        <v>408</v>
      </c>
      <c r="E235" t="s">
        <v>409</v>
      </c>
      <c r="G235" t="s">
        <v>20</v>
      </c>
      <c r="H235">
        <v>2000</v>
      </c>
      <c r="I235">
        <v>10.75</v>
      </c>
      <c r="J235">
        <v>1989.25</v>
      </c>
      <c r="O235" t="s">
        <v>21</v>
      </c>
      <c r="P235" t="s">
        <v>1872</v>
      </c>
    </row>
    <row r="236" spans="1:16" x14ac:dyDescent="0.3">
      <c r="A236" t="s">
        <v>1873</v>
      </c>
      <c r="C236" t="s">
        <v>1346</v>
      </c>
      <c r="D236" t="s">
        <v>408</v>
      </c>
      <c r="E236" t="s">
        <v>409</v>
      </c>
      <c r="G236" t="s">
        <v>20</v>
      </c>
      <c r="H236">
        <v>3100</v>
      </c>
      <c r="I236">
        <v>16.662500000000001</v>
      </c>
      <c r="J236">
        <v>3083.3375000000001</v>
      </c>
      <c r="O236" t="s">
        <v>21</v>
      </c>
      <c r="P236" t="s">
        <v>1874</v>
      </c>
    </row>
    <row r="237" spans="1:16" x14ac:dyDescent="0.3">
      <c r="A237" t="s">
        <v>1875</v>
      </c>
      <c r="C237" t="s">
        <v>1346</v>
      </c>
      <c r="D237" t="s">
        <v>408</v>
      </c>
      <c r="E237" t="s">
        <v>409</v>
      </c>
      <c r="G237" t="s">
        <v>20</v>
      </c>
      <c r="H237">
        <v>38000</v>
      </c>
      <c r="I237">
        <v>157.5</v>
      </c>
      <c r="J237">
        <v>37842.5</v>
      </c>
      <c r="O237" t="s">
        <v>21</v>
      </c>
      <c r="P237" t="s">
        <v>1876</v>
      </c>
    </row>
    <row r="238" spans="1:16" x14ac:dyDescent="0.3">
      <c r="A238" t="s">
        <v>1877</v>
      </c>
      <c r="B238" s="1" t="s">
        <v>1878</v>
      </c>
      <c r="C238" t="s">
        <v>1346</v>
      </c>
      <c r="D238" t="s">
        <v>1203</v>
      </c>
      <c r="E238" t="s">
        <v>19</v>
      </c>
      <c r="G238" t="s">
        <v>20</v>
      </c>
      <c r="H238">
        <v>62000</v>
      </c>
      <c r="I238">
        <v>25</v>
      </c>
      <c r="J238">
        <v>0</v>
      </c>
      <c r="O238" t="s">
        <v>21</v>
      </c>
      <c r="P238" t="s">
        <v>1879</v>
      </c>
    </row>
    <row r="239" spans="1:16" x14ac:dyDescent="0.3">
      <c r="A239" t="s">
        <v>1880</v>
      </c>
      <c r="C239" t="s">
        <v>1346</v>
      </c>
      <c r="D239" t="s">
        <v>404</v>
      </c>
      <c r="E239" t="s">
        <v>19</v>
      </c>
      <c r="F239" t="s">
        <v>676</v>
      </c>
      <c r="G239" t="s">
        <v>20</v>
      </c>
      <c r="H239">
        <v>60776</v>
      </c>
      <c r="I239">
        <v>0</v>
      </c>
      <c r="J239">
        <v>0</v>
      </c>
      <c r="O239" t="s">
        <v>21</v>
      </c>
      <c r="P239" t="s">
        <v>1881</v>
      </c>
    </row>
    <row r="240" spans="1:16" x14ac:dyDescent="0.3">
      <c r="A240" t="s">
        <v>1882</v>
      </c>
      <c r="C240" t="s">
        <v>1346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1883</v>
      </c>
    </row>
    <row r="241" spans="1:16" x14ac:dyDescent="0.3">
      <c r="A241" t="s">
        <v>1884</v>
      </c>
      <c r="C241" t="s">
        <v>1346</v>
      </c>
      <c r="D241" t="s">
        <v>408</v>
      </c>
      <c r="E241" t="s">
        <v>409</v>
      </c>
      <c r="G241" t="s">
        <v>20</v>
      </c>
      <c r="H241">
        <v>7100</v>
      </c>
      <c r="I241">
        <v>38.162500000000001</v>
      </c>
      <c r="J241">
        <v>7061.8374999999996</v>
      </c>
      <c r="O241" t="s">
        <v>21</v>
      </c>
      <c r="P241" t="s">
        <v>1885</v>
      </c>
    </row>
    <row r="242" spans="1:16" x14ac:dyDescent="0.3">
      <c r="A242" t="s">
        <v>1886</v>
      </c>
      <c r="C242" t="s">
        <v>1346</v>
      </c>
      <c r="D242" t="s">
        <v>408</v>
      </c>
      <c r="E242" t="s">
        <v>409</v>
      </c>
      <c r="G242" t="s">
        <v>20</v>
      </c>
      <c r="H242">
        <v>3400</v>
      </c>
      <c r="I242">
        <v>18.274999999999999</v>
      </c>
      <c r="J242">
        <v>3381.7249999999999</v>
      </c>
      <c r="O242" t="s">
        <v>21</v>
      </c>
      <c r="P242" t="s">
        <v>1887</v>
      </c>
    </row>
    <row r="243" spans="1:16" x14ac:dyDescent="0.3">
      <c r="A243" t="s">
        <v>1888</v>
      </c>
      <c r="C243" t="s">
        <v>1346</v>
      </c>
      <c r="D243" t="s">
        <v>408</v>
      </c>
      <c r="E243" t="s">
        <v>409</v>
      </c>
      <c r="G243" t="s">
        <v>20</v>
      </c>
      <c r="H243">
        <v>30300</v>
      </c>
      <c r="I243">
        <v>157.5</v>
      </c>
      <c r="J243">
        <v>30142.5</v>
      </c>
      <c r="O243" t="s">
        <v>21</v>
      </c>
      <c r="P243" t="s">
        <v>1889</v>
      </c>
    </row>
    <row r="244" spans="1:16" x14ac:dyDescent="0.3">
      <c r="A244" t="s">
        <v>1890</v>
      </c>
      <c r="B244" s="1" t="s">
        <v>1891</v>
      </c>
      <c r="C244" t="s">
        <v>1346</v>
      </c>
      <c r="D244" t="s">
        <v>1203</v>
      </c>
      <c r="E244" t="s">
        <v>19</v>
      </c>
      <c r="G244" t="s">
        <v>20</v>
      </c>
      <c r="H244">
        <v>30000</v>
      </c>
      <c r="I244">
        <v>25</v>
      </c>
      <c r="J244">
        <v>0</v>
      </c>
      <c r="O244" t="s">
        <v>21</v>
      </c>
      <c r="P244" t="s">
        <v>1892</v>
      </c>
    </row>
    <row r="245" spans="1:16" x14ac:dyDescent="0.3">
      <c r="A245" t="s">
        <v>1893</v>
      </c>
      <c r="C245" t="s">
        <v>1346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1894</v>
      </c>
    </row>
    <row r="246" spans="1:16" x14ac:dyDescent="0.3">
      <c r="A246" t="s">
        <v>1895</v>
      </c>
      <c r="C246" t="s">
        <v>1346</v>
      </c>
      <c r="D246" t="s">
        <v>404</v>
      </c>
      <c r="E246" t="s">
        <v>19</v>
      </c>
      <c r="F246" t="s">
        <v>687</v>
      </c>
      <c r="G246" t="s">
        <v>20</v>
      </c>
      <c r="H246">
        <v>20389</v>
      </c>
      <c r="I246">
        <v>0</v>
      </c>
      <c r="J246">
        <v>0</v>
      </c>
      <c r="O246" t="s">
        <v>21</v>
      </c>
      <c r="P246" t="s">
        <v>1896</v>
      </c>
    </row>
    <row r="247" spans="1:16" x14ac:dyDescent="0.3">
      <c r="A247" t="s">
        <v>1897</v>
      </c>
      <c r="C247" t="s">
        <v>1346</v>
      </c>
      <c r="D247" t="s">
        <v>408</v>
      </c>
      <c r="E247" t="s">
        <v>409</v>
      </c>
      <c r="G247" t="s">
        <v>20</v>
      </c>
      <c r="H247">
        <v>5100</v>
      </c>
      <c r="I247">
        <v>27.412500000000001</v>
      </c>
      <c r="J247">
        <v>5072.5874999999996</v>
      </c>
      <c r="O247" t="s">
        <v>21</v>
      </c>
      <c r="P247" t="s">
        <v>1898</v>
      </c>
    </row>
    <row r="248" spans="1:16" x14ac:dyDescent="0.3">
      <c r="A248" t="s">
        <v>1899</v>
      </c>
      <c r="C248" t="s">
        <v>1346</v>
      </c>
      <c r="D248" t="s">
        <v>408</v>
      </c>
      <c r="E248" t="s">
        <v>409</v>
      </c>
      <c r="G248" t="s">
        <v>20</v>
      </c>
      <c r="H248">
        <v>3100</v>
      </c>
      <c r="I248">
        <v>16.662500000000001</v>
      </c>
      <c r="J248">
        <v>3083.3375000000001</v>
      </c>
      <c r="O248" t="s">
        <v>21</v>
      </c>
      <c r="P248" t="s">
        <v>1900</v>
      </c>
    </row>
    <row r="249" spans="1:16" x14ac:dyDescent="0.3">
      <c r="A249" t="s">
        <v>1901</v>
      </c>
      <c r="C249" t="s">
        <v>1346</v>
      </c>
      <c r="D249" t="s">
        <v>408</v>
      </c>
      <c r="E249" t="s">
        <v>409</v>
      </c>
      <c r="G249" t="s">
        <v>20</v>
      </c>
      <c r="H249">
        <v>6200</v>
      </c>
      <c r="I249">
        <v>33.325000000000003</v>
      </c>
      <c r="J249">
        <v>6166.6750000000002</v>
      </c>
      <c r="O249" t="s">
        <v>21</v>
      </c>
      <c r="P249" t="s">
        <v>1902</v>
      </c>
    </row>
    <row r="250" spans="1:16" x14ac:dyDescent="0.3">
      <c r="A250" t="s">
        <v>1903</v>
      </c>
      <c r="C250" t="s">
        <v>1346</v>
      </c>
      <c r="D250" t="s">
        <v>408</v>
      </c>
      <c r="E250" t="s">
        <v>409</v>
      </c>
      <c r="G250" t="s">
        <v>20</v>
      </c>
      <c r="H250">
        <v>3000</v>
      </c>
      <c r="I250" s="1" t="s">
        <v>1393</v>
      </c>
      <c r="J250">
        <v>2983.875</v>
      </c>
      <c r="O250" t="s">
        <v>21</v>
      </c>
      <c r="P250" t="s">
        <v>1904</v>
      </c>
    </row>
    <row r="251" spans="1:16" x14ac:dyDescent="0.3">
      <c r="A251" t="s">
        <v>1905</v>
      </c>
      <c r="C251" t="s">
        <v>1346</v>
      </c>
      <c r="D251" t="s">
        <v>408</v>
      </c>
      <c r="E251" t="s">
        <v>409</v>
      </c>
      <c r="G251" t="s">
        <v>20</v>
      </c>
      <c r="H251">
        <v>3100</v>
      </c>
      <c r="I251">
        <v>16.662500000000001</v>
      </c>
      <c r="J251">
        <v>3083.3375000000001</v>
      </c>
      <c r="O251" t="s">
        <v>21</v>
      </c>
      <c r="P251" t="s">
        <v>1906</v>
      </c>
    </row>
    <row r="252" spans="1:16" x14ac:dyDescent="0.3">
      <c r="A252" t="s">
        <v>1907</v>
      </c>
      <c r="C252" t="s">
        <v>1346</v>
      </c>
      <c r="D252" t="s">
        <v>404</v>
      </c>
      <c r="E252" t="s">
        <v>19</v>
      </c>
      <c r="F252" t="s">
        <v>709</v>
      </c>
      <c r="G252" t="s">
        <v>20</v>
      </c>
      <c r="H252">
        <v>11040</v>
      </c>
      <c r="I252">
        <v>0</v>
      </c>
      <c r="J252">
        <v>0</v>
      </c>
      <c r="O252" t="s">
        <v>21</v>
      </c>
      <c r="P252" t="s">
        <v>1908</v>
      </c>
    </row>
    <row r="253" spans="1:16" x14ac:dyDescent="0.3">
      <c r="A253" t="s">
        <v>1909</v>
      </c>
      <c r="C253" t="s">
        <v>1346</v>
      </c>
      <c r="D253" t="s">
        <v>408</v>
      </c>
      <c r="E253" t="s">
        <v>409</v>
      </c>
      <c r="G253" t="s">
        <v>20</v>
      </c>
      <c r="H253">
        <v>6100</v>
      </c>
      <c r="I253">
        <v>32.787500000000001</v>
      </c>
      <c r="J253">
        <v>6067.2124999999996</v>
      </c>
      <c r="O253" t="s">
        <v>21</v>
      </c>
      <c r="P253" t="s">
        <v>1910</v>
      </c>
    </row>
    <row r="254" spans="1:16" x14ac:dyDescent="0.3">
      <c r="A254" t="s">
        <v>1911</v>
      </c>
      <c r="C254" t="s">
        <v>1346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21</v>
      </c>
      <c r="P254" t="s">
        <v>1912</v>
      </c>
    </row>
    <row r="255" spans="1:16" x14ac:dyDescent="0.3">
      <c r="A255" t="s">
        <v>1913</v>
      </c>
      <c r="B255" s="1" t="s">
        <v>1914</v>
      </c>
      <c r="C255" t="s">
        <v>1346</v>
      </c>
      <c r="D255" t="s">
        <v>1203</v>
      </c>
      <c r="E255" t="s">
        <v>19</v>
      </c>
      <c r="G255" t="s">
        <v>20</v>
      </c>
      <c r="H255">
        <v>15000</v>
      </c>
      <c r="I255">
        <v>25</v>
      </c>
      <c r="J255">
        <v>0</v>
      </c>
      <c r="O255" t="s">
        <v>21</v>
      </c>
      <c r="P255" t="s">
        <v>1915</v>
      </c>
    </row>
    <row r="256" spans="1:16" x14ac:dyDescent="0.3">
      <c r="A256" t="s">
        <v>1916</v>
      </c>
      <c r="C256" t="s">
        <v>1346</v>
      </c>
      <c r="D256" t="s">
        <v>404</v>
      </c>
      <c r="E256" t="s">
        <v>19</v>
      </c>
      <c r="F256" t="s">
        <v>1917</v>
      </c>
      <c r="G256" t="s">
        <v>20</v>
      </c>
      <c r="H256">
        <v>14869</v>
      </c>
      <c r="I256">
        <v>0</v>
      </c>
      <c r="J256">
        <v>0</v>
      </c>
      <c r="O256" t="s">
        <v>21</v>
      </c>
      <c r="P256" t="s">
        <v>1918</v>
      </c>
    </row>
    <row r="257" spans="1:16" x14ac:dyDescent="0.3">
      <c r="A257" t="s">
        <v>1919</v>
      </c>
      <c r="C257" t="s">
        <v>1346</v>
      </c>
      <c r="D257" t="s">
        <v>408</v>
      </c>
      <c r="E257" t="s">
        <v>409</v>
      </c>
      <c r="G257" t="s">
        <v>20</v>
      </c>
      <c r="H257">
        <v>15000</v>
      </c>
      <c r="I257">
        <v>130.625</v>
      </c>
      <c r="J257">
        <v>14869.375</v>
      </c>
      <c r="O257" t="s">
        <v>21</v>
      </c>
      <c r="P257" t="s">
        <v>1920</v>
      </c>
    </row>
    <row r="258" spans="1:16" x14ac:dyDescent="0.3">
      <c r="A258" t="s">
        <v>1921</v>
      </c>
      <c r="B258" s="1" t="s">
        <v>1922</v>
      </c>
      <c r="C258" t="s">
        <v>1346</v>
      </c>
      <c r="D258" t="s">
        <v>1203</v>
      </c>
      <c r="E258" t="s">
        <v>19</v>
      </c>
      <c r="G258" t="s">
        <v>20</v>
      </c>
      <c r="H258">
        <v>30000</v>
      </c>
      <c r="I258">
        <v>25</v>
      </c>
      <c r="J258">
        <v>0</v>
      </c>
      <c r="O258" t="s">
        <v>21</v>
      </c>
      <c r="P258" t="s">
        <v>1923</v>
      </c>
    </row>
    <row r="259" spans="1:16" x14ac:dyDescent="0.3">
      <c r="A259" t="s">
        <v>1924</v>
      </c>
      <c r="C259" t="s">
        <v>1346</v>
      </c>
      <c r="D259" t="s">
        <v>404</v>
      </c>
      <c r="E259" t="s">
        <v>19</v>
      </c>
      <c r="F259" t="s">
        <v>1925</v>
      </c>
      <c r="G259" t="s">
        <v>20</v>
      </c>
      <c r="H259">
        <v>23124</v>
      </c>
      <c r="I259">
        <v>0</v>
      </c>
      <c r="J259">
        <v>0</v>
      </c>
      <c r="O259" t="s">
        <v>21</v>
      </c>
      <c r="P259" t="s">
        <v>1926</v>
      </c>
    </row>
    <row r="260" spans="1:16" x14ac:dyDescent="0.3">
      <c r="A260" t="s">
        <v>1927</v>
      </c>
      <c r="C260" t="s">
        <v>1346</v>
      </c>
      <c r="D260" t="s">
        <v>408</v>
      </c>
      <c r="E260" t="s">
        <v>409</v>
      </c>
      <c r="G260" t="s">
        <v>20</v>
      </c>
      <c r="H260">
        <v>9200</v>
      </c>
      <c r="I260">
        <v>49.45</v>
      </c>
      <c r="J260">
        <v>9150.5499999999993</v>
      </c>
      <c r="O260" t="s">
        <v>21</v>
      </c>
      <c r="P260" t="s">
        <v>1928</v>
      </c>
    </row>
    <row r="261" spans="1:16" x14ac:dyDescent="0.3">
      <c r="A261" t="s">
        <v>1929</v>
      </c>
      <c r="C261" t="s">
        <v>1346</v>
      </c>
      <c r="D261" t="s">
        <v>408</v>
      </c>
      <c r="E261" t="s">
        <v>409</v>
      </c>
      <c r="G261" t="s">
        <v>20</v>
      </c>
      <c r="H261">
        <v>13000</v>
      </c>
      <c r="I261">
        <v>119.875</v>
      </c>
      <c r="J261">
        <v>12880.125</v>
      </c>
      <c r="O261" t="s">
        <v>21</v>
      </c>
      <c r="P261" t="s">
        <v>1930</v>
      </c>
    </row>
    <row r="262" spans="1:16" x14ac:dyDescent="0.3">
      <c r="A262" t="e">
        <f>-xNvjfWvKjKxgSYQhl4HX</f>
        <v>#NAME?</v>
      </c>
      <c r="C262" t="s">
        <v>1346</v>
      </c>
      <c r="D262" t="s">
        <v>408</v>
      </c>
      <c r="E262" t="s">
        <v>409</v>
      </c>
      <c r="G262" t="s">
        <v>20</v>
      </c>
      <c r="H262">
        <v>1100</v>
      </c>
      <c r="I262">
        <v>5.9124999999999996</v>
      </c>
      <c r="J262">
        <v>1094.0875000000001</v>
      </c>
      <c r="O262" t="s">
        <v>21</v>
      </c>
      <c r="P262" t="s">
        <v>1931</v>
      </c>
    </row>
    <row r="263" spans="1:16" x14ac:dyDescent="0.3">
      <c r="A263" t="s">
        <v>1932</v>
      </c>
      <c r="C263" t="s">
        <v>1346</v>
      </c>
      <c r="D263" t="s">
        <v>408</v>
      </c>
      <c r="E263" t="s">
        <v>409</v>
      </c>
      <c r="G263" t="s">
        <v>20</v>
      </c>
      <c r="H263">
        <v>1100</v>
      </c>
      <c r="I263">
        <v>5.9124999999999996</v>
      </c>
      <c r="J263">
        <v>1094.0875000000001</v>
      </c>
      <c r="O263" t="s">
        <v>412</v>
      </c>
      <c r="P263" t="s">
        <v>1933</v>
      </c>
    </row>
    <row r="264" spans="1:16" x14ac:dyDescent="0.3">
      <c r="A264" t="s">
        <v>1934</v>
      </c>
      <c r="C264" t="s">
        <v>1346</v>
      </c>
      <c r="D264" t="s">
        <v>408</v>
      </c>
      <c r="E264" t="s">
        <v>409</v>
      </c>
      <c r="G264" t="s">
        <v>20</v>
      </c>
      <c r="H264">
        <v>1100</v>
      </c>
      <c r="I264">
        <v>5.9124999999999996</v>
      </c>
      <c r="J264">
        <v>1094.0875000000001</v>
      </c>
      <c r="O264" t="s">
        <v>412</v>
      </c>
      <c r="P264" t="s">
        <v>1935</v>
      </c>
    </row>
    <row r="265" spans="1:16" x14ac:dyDescent="0.3">
      <c r="A265" t="s">
        <v>1936</v>
      </c>
      <c r="C265" t="s">
        <v>1346</v>
      </c>
      <c r="D265" t="s">
        <v>404</v>
      </c>
      <c r="E265" t="s">
        <v>19</v>
      </c>
      <c r="F265" t="s">
        <v>1937</v>
      </c>
      <c r="G265" t="s">
        <v>20</v>
      </c>
      <c r="H265">
        <v>7061</v>
      </c>
      <c r="I265">
        <v>0</v>
      </c>
      <c r="J265">
        <v>0</v>
      </c>
      <c r="O265" t="s">
        <v>21</v>
      </c>
      <c r="P265" t="s">
        <v>1938</v>
      </c>
    </row>
    <row r="266" spans="1:16" x14ac:dyDescent="0.3">
      <c r="A266" t="s">
        <v>1939</v>
      </c>
      <c r="C266" t="s">
        <v>1346</v>
      </c>
      <c r="D266" t="s">
        <v>408</v>
      </c>
      <c r="E266" t="s">
        <v>409</v>
      </c>
      <c r="G266" t="s">
        <v>20</v>
      </c>
      <c r="H266">
        <v>2000</v>
      </c>
      <c r="I266">
        <v>10.75</v>
      </c>
      <c r="J266">
        <v>1989.25</v>
      </c>
      <c r="O266" t="s">
        <v>21</v>
      </c>
      <c r="P266" t="s">
        <v>1940</v>
      </c>
    </row>
    <row r="267" spans="1:16" x14ac:dyDescent="0.3">
      <c r="A267" t="s">
        <v>1941</v>
      </c>
      <c r="C267" t="s">
        <v>1346</v>
      </c>
      <c r="D267" t="s">
        <v>408</v>
      </c>
      <c r="E267" t="s">
        <v>409</v>
      </c>
      <c r="G267" t="s">
        <v>20</v>
      </c>
      <c r="H267">
        <v>5100</v>
      </c>
      <c r="I267">
        <v>27.412500000000001</v>
      </c>
      <c r="J267">
        <v>5072.5874999999996</v>
      </c>
      <c r="O267" t="s">
        <v>21</v>
      </c>
      <c r="P267" t="s">
        <v>1942</v>
      </c>
    </row>
    <row r="268" spans="1:16" x14ac:dyDescent="0.3">
      <c r="A268" t="s">
        <v>1943</v>
      </c>
      <c r="B268" s="1" t="s">
        <v>1944</v>
      </c>
      <c r="C268" t="s">
        <v>1346</v>
      </c>
      <c r="D268" t="s">
        <v>1203</v>
      </c>
      <c r="E268" t="s">
        <v>19</v>
      </c>
      <c r="G268" t="s">
        <v>20</v>
      </c>
      <c r="H268">
        <v>23000</v>
      </c>
      <c r="I268">
        <v>25</v>
      </c>
      <c r="J268">
        <v>0</v>
      </c>
      <c r="O268" t="s">
        <v>21</v>
      </c>
      <c r="P268" t="s">
        <v>1945</v>
      </c>
    </row>
    <row r="269" spans="1:16" x14ac:dyDescent="0.3">
      <c r="A269" t="s">
        <v>1946</v>
      </c>
      <c r="C269" t="s">
        <v>1346</v>
      </c>
      <c r="D269" t="s">
        <v>404</v>
      </c>
      <c r="E269" t="s">
        <v>19</v>
      </c>
      <c r="F269" t="s">
        <v>1947</v>
      </c>
      <c r="G269" t="s">
        <v>20</v>
      </c>
      <c r="H269">
        <v>3083</v>
      </c>
      <c r="I269">
        <v>0</v>
      </c>
      <c r="J269">
        <v>0</v>
      </c>
      <c r="O269" t="s">
        <v>21</v>
      </c>
      <c r="P269" t="s">
        <v>1948</v>
      </c>
    </row>
    <row r="270" spans="1:16" x14ac:dyDescent="0.3">
      <c r="A270" t="s">
        <v>1949</v>
      </c>
      <c r="C270" t="s">
        <v>1346</v>
      </c>
      <c r="D270" t="s">
        <v>408</v>
      </c>
      <c r="E270" t="s">
        <v>409</v>
      </c>
      <c r="G270" t="s">
        <v>20</v>
      </c>
      <c r="H270">
        <v>3100</v>
      </c>
      <c r="I270">
        <v>16.662500000000001</v>
      </c>
      <c r="J270">
        <v>3083.3375000000001</v>
      </c>
      <c r="O270" t="s">
        <v>21</v>
      </c>
      <c r="P270" t="s">
        <v>1950</v>
      </c>
    </row>
    <row r="271" spans="1:16" x14ac:dyDescent="0.3">
      <c r="A271" t="s">
        <v>1951</v>
      </c>
      <c r="C271" t="s">
        <v>1346</v>
      </c>
      <c r="D271" t="s">
        <v>1203</v>
      </c>
      <c r="E271" t="s">
        <v>19</v>
      </c>
      <c r="G271" t="s">
        <v>20</v>
      </c>
      <c r="H271">
        <v>20000</v>
      </c>
      <c r="I271">
        <v>25</v>
      </c>
      <c r="J271">
        <v>0</v>
      </c>
      <c r="O271" t="s">
        <v>412</v>
      </c>
      <c r="P271" t="s">
        <v>1952</v>
      </c>
    </row>
    <row r="272" spans="1:16" x14ac:dyDescent="0.3">
      <c r="A272" t="s">
        <v>1953</v>
      </c>
      <c r="C272" t="s">
        <v>1346</v>
      </c>
      <c r="D272" t="s">
        <v>1203</v>
      </c>
      <c r="E272" t="s">
        <v>19</v>
      </c>
      <c r="G272" t="s">
        <v>20</v>
      </c>
      <c r="H272">
        <v>20000</v>
      </c>
      <c r="I272">
        <v>25</v>
      </c>
      <c r="J272">
        <v>0</v>
      </c>
      <c r="O272" t="s">
        <v>412</v>
      </c>
      <c r="P272" t="s">
        <v>1954</v>
      </c>
    </row>
    <row r="273" spans="1:16" x14ac:dyDescent="0.3">
      <c r="A273" t="s">
        <v>1955</v>
      </c>
      <c r="C273" t="s">
        <v>1346</v>
      </c>
      <c r="D273" t="s">
        <v>404</v>
      </c>
      <c r="E273" t="s">
        <v>19</v>
      </c>
      <c r="F273" t="s">
        <v>1956</v>
      </c>
      <c r="G273" t="s">
        <v>20</v>
      </c>
      <c r="H273">
        <v>5072</v>
      </c>
      <c r="I273">
        <v>0</v>
      </c>
      <c r="J273">
        <v>0</v>
      </c>
      <c r="O273" t="s">
        <v>21</v>
      </c>
      <c r="P273" t="s">
        <v>1957</v>
      </c>
    </row>
    <row r="274" spans="1:16" x14ac:dyDescent="0.3">
      <c r="A274" t="s">
        <v>1958</v>
      </c>
      <c r="C274" t="s">
        <v>1346</v>
      </c>
      <c r="D274" t="s">
        <v>1203</v>
      </c>
      <c r="E274" t="s">
        <v>19</v>
      </c>
      <c r="G274" t="s">
        <v>20</v>
      </c>
      <c r="H274">
        <v>15000</v>
      </c>
      <c r="I274">
        <v>25</v>
      </c>
      <c r="J274">
        <v>0</v>
      </c>
      <c r="O274" t="s">
        <v>412</v>
      </c>
      <c r="P274" t="s">
        <v>1959</v>
      </c>
    </row>
    <row r="275" spans="1:16" x14ac:dyDescent="0.3">
      <c r="A275" t="s">
        <v>1960</v>
      </c>
      <c r="C275" t="s">
        <v>1346</v>
      </c>
      <c r="D275" t="s">
        <v>1203</v>
      </c>
      <c r="E275" t="s">
        <v>19</v>
      </c>
      <c r="G275" t="s">
        <v>20</v>
      </c>
      <c r="H275">
        <v>15000</v>
      </c>
      <c r="I275">
        <v>25</v>
      </c>
      <c r="J275">
        <v>0</v>
      </c>
      <c r="O275" t="s">
        <v>412</v>
      </c>
      <c r="P275" t="s">
        <v>1961</v>
      </c>
    </row>
    <row r="276" spans="1:16" x14ac:dyDescent="0.3">
      <c r="A276" t="s">
        <v>1962</v>
      </c>
      <c r="C276" t="s">
        <v>1346</v>
      </c>
      <c r="D276" t="s">
        <v>408</v>
      </c>
      <c r="E276" t="s">
        <v>409</v>
      </c>
      <c r="G276" t="s">
        <v>20</v>
      </c>
      <c r="H276">
        <v>5100</v>
      </c>
      <c r="I276">
        <v>27.412500000000001</v>
      </c>
      <c r="J276">
        <v>5072.5874999999996</v>
      </c>
      <c r="O276" t="s">
        <v>21</v>
      </c>
      <c r="P276" t="s">
        <v>1963</v>
      </c>
    </row>
    <row r="277" spans="1:16" x14ac:dyDescent="0.3">
      <c r="A277" t="s">
        <v>1964</v>
      </c>
      <c r="C277" t="s">
        <v>1346</v>
      </c>
      <c r="D277" t="s">
        <v>1203</v>
      </c>
      <c r="E277" t="s">
        <v>19</v>
      </c>
      <c r="G277" t="s">
        <v>20</v>
      </c>
      <c r="H277">
        <v>15000</v>
      </c>
      <c r="I277">
        <v>25</v>
      </c>
      <c r="J277">
        <v>0</v>
      </c>
      <c r="O277" t="s">
        <v>412</v>
      </c>
      <c r="P277" t="s">
        <v>1965</v>
      </c>
    </row>
    <row r="278" spans="1:16" x14ac:dyDescent="0.3">
      <c r="A278" t="s">
        <v>1966</v>
      </c>
      <c r="C278" t="s">
        <v>1346</v>
      </c>
      <c r="D278" t="s">
        <v>1203</v>
      </c>
      <c r="E278" t="s">
        <v>19</v>
      </c>
      <c r="G278" t="s">
        <v>20</v>
      </c>
      <c r="H278">
        <v>15000</v>
      </c>
      <c r="I278">
        <v>25</v>
      </c>
      <c r="J278">
        <v>0</v>
      </c>
      <c r="O278" t="s">
        <v>412</v>
      </c>
      <c r="P278" t="s">
        <v>1967</v>
      </c>
    </row>
    <row r="279" spans="1:16" x14ac:dyDescent="0.3">
      <c r="A279" t="s">
        <v>1968</v>
      </c>
      <c r="C279" t="s">
        <v>1346</v>
      </c>
      <c r="D279" t="s">
        <v>404</v>
      </c>
      <c r="E279" t="s">
        <v>19</v>
      </c>
      <c r="F279" t="s">
        <v>1969</v>
      </c>
      <c r="G279" t="s">
        <v>20</v>
      </c>
      <c r="H279">
        <v>3083</v>
      </c>
      <c r="I279">
        <v>0</v>
      </c>
      <c r="J279">
        <v>0</v>
      </c>
      <c r="O279" t="s">
        <v>21</v>
      </c>
      <c r="P279" t="s">
        <v>1970</v>
      </c>
    </row>
    <row r="280" spans="1:16" x14ac:dyDescent="0.3">
      <c r="A280" t="s">
        <v>1971</v>
      </c>
      <c r="C280" t="s">
        <v>1346</v>
      </c>
      <c r="D280" t="s">
        <v>408</v>
      </c>
      <c r="E280" t="s">
        <v>409</v>
      </c>
      <c r="G280" t="s">
        <v>20</v>
      </c>
      <c r="H280">
        <v>3100</v>
      </c>
      <c r="I280">
        <v>16.662500000000001</v>
      </c>
      <c r="J280">
        <v>3083.3375000000001</v>
      </c>
      <c r="O280" t="s">
        <v>21</v>
      </c>
      <c r="P280" t="s">
        <v>1972</v>
      </c>
    </row>
    <row r="281" spans="1:16" x14ac:dyDescent="0.3">
      <c r="A281" t="s">
        <v>1973</v>
      </c>
      <c r="C281" t="s">
        <v>1346</v>
      </c>
      <c r="D281" t="s">
        <v>1203</v>
      </c>
      <c r="E281" t="s">
        <v>19</v>
      </c>
      <c r="G281" t="s">
        <v>20</v>
      </c>
      <c r="H281">
        <v>12000</v>
      </c>
      <c r="I281">
        <v>25</v>
      </c>
      <c r="J281">
        <v>0</v>
      </c>
      <c r="O281" t="s">
        <v>412</v>
      </c>
      <c r="P281" t="s">
        <v>1974</v>
      </c>
    </row>
    <row r="282" spans="1:16" x14ac:dyDescent="0.3">
      <c r="A282" t="s">
        <v>1975</v>
      </c>
      <c r="C282" t="s">
        <v>1346</v>
      </c>
      <c r="D282" t="s">
        <v>1203</v>
      </c>
      <c r="E282" t="s">
        <v>19</v>
      </c>
      <c r="G282" t="s">
        <v>20</v>
      </c>
      <c r="H282">
        <v>12000</v>
      </c>
      <c r="I282">
        <v>25</v>
      </c>
      <c r="J282">
        <v>0</v>
      </c>
      <c r="O282" t="s">
        <v>412</v>
      </c>
      <c r="P282" t="s">
        <v>1976</v>
      </c>
    </row>
    <row r="283" spans="1:16" x14ac:dyDescent="0.3">
      <c r="A283" t="s">
        <v>1977</v>
      </c>
      <c r="C283" t="s">
        <v>1346</v>
      </c>
      <c r="D283" t="s">
        <v>1203</v>
      </c>
      <c r="E283" t="s">
        <v>19</v>
      </c>
      <c r="G283" t="s">
        <v>20</v>
      </c>
      <c r="H283">
        <v>12000</v>
      </c>
      <c r="I283">
        <v>25</v>
      </c>
      <c r="J283">
        <v>0</v>
      </c>
      <c r="O283" t="s">
        <v>412</v>
      </c>
      <c r="P283" t="s">
        <v>1978</v>
      </c>
    </row>
    <row r="284" spans="1:16" x14ac:dyDescent="0.3">
      <c r="A284" t="s">
        <v>1979</v>
      </c>
      <c r="C284" t="s">
        <v>1346</v>
      </c>
      <c r="D284" t="s">
        <v>1203</v>
      </c>
      <c r="E284" t="s">
        <v>19</v>
      </c>
      <c r="G284" t="s">
        <v>20</v>
      </c>
      <c r="H284">
        <v>12000</v>
      </c>
      <c r="I284">
        <v>25</v>
      </c>
      <c r="J284">
        <v>0</v>
      </c>
      <c r="O284" t="s">
        <v>412</v>
      </c>
      <c r="P284" t="s">
        <v>1980</v>
      </c>
    </row>
    <row r="285" spans="1:16" x14ac:dyDescent="0.3">
      <c r="A285" t="s">
        <v>1981</v>
      </c>
      <c r="C285" t="s">
        <v>1346</v>
      </c>
      <c r="D285" t="s">
        <v>404</v>
      </c>
      <c r="E285" t="s">
        <v>19</v>
      </c>
      <c r="F285" t="s">
        <v>726</v>
      </c>
      <c r="G285" t="s">
        <v>20</v>
      </c>
      <c r="H285">
        <v>12233</v>
      </c>
      <c r="I285">
        <v>0</v>
      </c>
      <c r="J285">
        <v>0</v>
      </c>
      <c r="O285" t="s">
        <v>21</v>
      </c>
      <c r="P285" t="s">
        <v>1982</v>
      </c>
    </row>
    <row r="286" spans="1:16" x14ac:dyDescent="0.3">
      <c r="A286" t="s">
        <v>1983</v>
      </c>
      <c r="C286" t="s">
        <v>1346</v>
      </c>
      <c r="D286" t="s">
        <v>408</v>
      </c>
      <c r="E286" t="s">
        <v>409</v>
      </c>
      <c r="G286" t="s">
        <v>20</v>
      </c>
      <c r="H286">
        <v>3100</v>
      </c>
      <c r="I286">
        <v>16.662500000000001</v>
      </c>
      <c r="J286">
        <v>3083.3375000000001</v>
      </c>
      <c r="O286" t="s">
        <v>21</v>
      </c>
      <c r="P286" t="s">
        <v>1984</v>
      </c>
    </row>
    <row r="287" spans="1:16" x14ac:dyDescent="0.3">
      <c r="A287" t="s">
        <v>1985</v>
      </c>
      <c r="C287" t="s">
        <v>1346</v>
      </c>
      <c r="D287" t="s">
        <v>408</v>
      </c>
      <c r="E287" t="s">
        <v>409</v>
      </c>
      <c r="G287" t="s">
        <v>20</v>
      </c>
      <c r="H287">
        <v>4100</v>
      </c>
      <c r="I287">
        <v>22.037500000000001</v>
      </c>
      <c r="J287">
        <v>4077.9625000000001</v>
      </c>
      <c r="O287" t="s">
        <v>21</v>
      </c>
      <c r="P287" t="s">
        <v>1986</v>
      </c>
    </row>
    <row r="288" spans="1:16" x14ac:dyDescent="0.3">
      <c r="A288" t="s">
        <v>1987</v>
      </c>
      <c r="C288" t="s">
        <v>1346</v>
      </c>
      <c r="D288" t="s">
        <v>408</v>
      </c>
      <c r="E288" t="s">
        <v>409</v>
      </c>
      <c r="G288" t="s">
        <v>20</v>
      </c>
      <c r="H288">
        <v>5100</v>
      </c>
      <c r="I288">
        <v>27.412500000000001</v>
      </c>
      <c r="J288">
        <v>5072.5874999999996</v>
      </c>
      <c r="O288" t="s">
        <v>21</v>
      </c>
      <c r="P288" t="s">
        <v>1988</v>
      </c>
    </row>
    <row r="289" spans="1:16" x14ac:dyDescent="0.3">
      <c r="A289" t="s">
        <v>1989</v>
      </c>
      <c r="B289" s="1" t="s">
        <v>1990</v>
      </c>
      <c r="C289" t="s">
        <v>1346</v>
      </c>
      <c r="D289" t="s">
        <v>1203</v>
      </c>
      <c r="E289" t="s">
        <v>19</v>
      </c>
      <c r="G289" t="s">
        <v>20</v>
      </c>
      <c r="H289">
        <v>20000</v>
      </c>
      <c r="I289">
        <v>25</v>
      </c>
      <c r="J289">
        <v>0</v>
      </c>
      <c r="O289" t="s">
        <v>21</v>
      </c>
      <c r="P289" t="s">
        <v>1991</v>
      </c>
    </row>
    <row r="290" spans="1:16" x14ac:dyDescent="0.3">
      <c r="A290" t="s">
        <v>1992</v>
      </c>
      <c r="C290" t="s">
        <v>1346</v>
      </c>
      <c r="D290" t="s">
        <v>404</v>
      </c>
      <c r="E290" t="s">
        <v>19</v>
      </c>
      <c r="F290" t="s">
        <v>750</v>
      </c>
      <c r="G290" t="s">
        <v>20</v>
      </c>
      <c r="H290">
        <v>20091</v>
      </c>
      <c r="I290">
        <v>0</v>
      </c>
      <c r="J290">
        <v>0</v>
      </c>
      <c r="O290" t="s">
        <v>21</v>
      </c>
      <c r="P290" t="s">
        <v>1993</v>
      </c>
    </row>
    <row r="291" spans="1:16" x14ac:dyDescent="0.3">
      <c r="A291" t="s">
        <v>1994</v>
      </c>
      <c r="C291" t="s">
        <v>1346</v>
      </c>
      <c r="D291" t="s">
        <v>408</v>
      </c>
      <c r="E291" t="s">
        <v>409</v>
      </c>
      <c r="G291" t="s">
        <v>20</v>
      </c>
      <c r="H291">
        <v>10000</v>
      </c>
      <c r="I291" s="1" t="s">
        <v>1432</v>
      </c>
      <c r="J291">
        <v>9946.25</v>
      </c>
      <c r="O291" t="s">
        <v>21</v>
      </c>
      <c r="P291" t="s">
        <v>1995</v>
      </c>
    </row>
    <row r="292" spans="1:16" x14ac:dyDescent="0.3">
      <c r="A292" t="s">
        <v>1996</v>
      </c>
      <c r="C292" t="s">
        <v>1346</v>
      </c>
      <c r="D292" t="s">
        <v>408</v>
      </c>
      <c r="E292" t="s">
        <v>409</v>
      </c>
      <c r="G292" t="s">
        <v>20</v>
      </c>
      <c r="H292">
        <v>10200</v>
      </c>
      <c r="I292">
        <v>54.825000000000003</v>
      </c>
      <c r="J292">
        <v>10145.174999999999</v>
      </c>
      <c r="O292" t="s">
        <v>21</v>
      </c>
      <c r="P292" t="s">
        <v>1997</v>
      </c>
    </row>
    <row r="293" spans="1:16" x14ac:dyDescent="0.3">
      <c r="A293" t="s">
        <v>1998</v>
      </c>
      <c r="B293" s="1" t="s">
        <v>1999</v>
      </c>
      <c r="C293" t="s">
        <v>1346</v>
      </c>
      <c r="D293" t="s">
        <v>1203</v>
      </c>
      <c r="E293" t="s">
        <v>19</v>
      </c>
      <c r="G293" t="s">
        <v>20</v>
      </c>
      <c r="H293">
        <v>28000</v>
      </c>
      <c r="I293">
        <v>25</v>
      </c>
      <c r="J293">
        <v>0</v>
      </c>
      <c r="O293" t="s">
        <v>21</v>
      </c>
      <c r="P293" t="s">
        <v>2000</v>
      </c>
    </row>
    <row r="294" spans="1:16" x14ac:dyDescent="0.3">
      <c r="A294" t="s">
        <v>2001</v>
      </c>
      <c r="C294" t="s">
        <v>1346</v>
      </c>
      <c r="D294" t="s">
        <v>404</v>
      </c>
      <c r="E294" t="s">
        <v>19</v>
      </c>
      <c r="F294" t="s">
        <v>763</v>
      </c>
      <c r="G294" t="s">
        <v>20</v>
      </c>
      <c r="H294">
        <v>14223</v>
      </c>
      <c r="I294">
        <v>0</v>
      </c>
      <c r="J294">
        <v>0</v>
      </c>
      <c r="O294" t="s">
        <v>21</v>
      </c>
      <c r="P294" t="s">
        <v>2002</v>
      </c>
    </row>
    <row r="295" spans="1:16" x14ac:dyDescent="0.3">
      <c r="A295" t="s">
        <v>2003</v>
      </c>
      <c r="C295" t="s">
        <v>1346</v>
      </c>
      <c r="D295" t="s">
        <v>408</v>
      </c>
      <c r="E295" t="s">
        <v>409</v>
      </c>
      <c r="G295" t="s">
        <v>20</v>
      </c>
      <c r="H295">
        <v>4100</v>
      </c>
      <c r="I295">
        <v>22.037500000000001</v>
      </c>
      <c r="J295">
        <v>4077.9625000000001</v>
      </c>
      <c r="O295" t="s">
        <v>21</v>
      </c>
      <c r="P295" t="s">
        <v>2004</v>
      </c>
    </row>
    <row r="296" spans="1:16" x14ac:dyDescent="0.3">
      <c r="A296" t="s">
        <v>2005</v>
      </c>
      <c r="C296" t="s">
        <v>1346</v>
      </c>
      <c r="D296" t="s">
        <v>408</v>
      </c>
      <c r="E296" t="s">
        <v>409</v>
      </c>
      <c r="G296" t="s">
        <v>20</v>
      </c>
      <c r="H296">
        <v>10200</v>
      </c>
      <c r="I296">
        <v>54.825000000000003</v>
      </c>
      <c r="J296">
        <v>10145.174999999999</v>
      </c>
      <c r="O296" t="s">
        <v>21</v>
      </c>
      <c r="P296" t="s">
        <v>2006</v>
      </c>
    </row>
    <row r="297" spans="1:16" x14ac:dyDescent="0.3">
      <c r="A297" t="s">
        <v>2007</v>
      </c>
      <c r="C297" t="s">
        <v>1346</v>
      </c>
      <c r="D297" t="s">
        <v>404</v>
      </c>
      <c r="E297" t="s">
        <v>19</v>
      </c>
      <c r="F297" t="s">
        <v>2008</v>
      </c>
      <c r="G297" t="s">
        <v>20</v>
      </c>
      <c r="H297">
        <v>9051</v>
      </c>
      <c r="I297">
        <v>0</v>
      </c>
      <c r="J297">
        <v>0</v>
      </c>
      <c r="O297" t="s">
        <v>21</v>
      </c>
      <c r="P297" t="s">
        <v>2009</v>
      </c>
    </row>
    <row r="298" spans="1:16" x14ac:dyDescent="0.3">
      <c r="A298" t="s">
        <v>2010</v>
      </c>
      <c r="C298" t="s">
        <v>1346</v>
      </c>
      <c r="D298" t="s">
        <v>408</v>
      </c>
      <c r="E298" t="s">
        <v>409</v>
      </c>
      <c r="G298" t="s">
        <v>20</v>
      </c>
      <c r="H298">
        <v>3000</v>
      </c>
      <c r="I298" s="1" t="s">
        <v>1393</v>
      </c>
      <c r="J298">
        <v>2983.875</v>
      </c>
      <c r="O298" t="s">
        <v>21</v>
      </c>
      <c r="P298" t="s">
        <v>2011</v>
      </c>
    </row>
    <row r="299" spans="1:16" x14ac:dyDescent="0.3">
      <c r="A299" t="s">
        <v>2012</v>
      </c>
      <c r="C299" t="s">
        <v>1346</v>
      </c>
      <c r="D299" t="s">
        <v>408</v>
      </c>
      <c r="E299" t="s">
        <v>409</v>
      </c>
      <c r="G299" t="s">
        <v>20</v>
      </c>
      <c r="H299">
        <v>2000</v>
      </c>
      <c r="I299">
        <v>10.75</v>
      </c>
      <c r="J299">
        <v>1989.25</v>
      </c>
      <c r="O299" t="s">
        <v>21</v>
      </c>
      <c r="P299" t="s">
        <v>2013</v>
      </c>
    </row>
    <row r="300" spans="1:16" x14ac:dyDescent="0.3">
      <c r="A300" t="s">
        <v>2014</v>
      </c>
      <c r="C300" t="s">
        <v>1346</v>
      </c>
      <c r="D300" t="s">
        <v>408</v>
      </c>
      <c r="E300" t="s">
        <v>409</v>
      </c>
      <c r="G300" t="s">
        <v>20</v>
      </c>
      <c r="H300">
        <v>4100</v>
      </c>
      <c r="I300">
        <v>22.037500000000001</v>
      </c>
      <c r="J300">
        <v>4077.9625000000001</v>
      </c>
      <c r="O300" t="s">
        <v>21</v>
      </c>
      <c r="P300" t="s">
        <v>2015</v>
      </c>
    </row>
    <row r="301" spans="1:16" x14ac:dyDescent="0.3">
      <c r="A301" t="s">
        <v>2016</v>
      </c>
      <c r="C301" t="s">
        <v>1346</v>
      </c>
      <c r="D301" t="s">
        <v>404</v>
      </c>
      <c r="E301" t="s">
        <v>19</v>
      </c>
      <c r="F301" t="s">
        <v>774</v>
      </c>
      <c r="G301" t="s">
        <v>20</v>
      </c>
      <c r="H301">
        <v>4077</v>
      </c>
      <c r="I301">
        <v>0</v>
      </c>
      <c r="J301">
        <v>0</v>
      </c>
      <c r="O301" t="s">
        <v>21</v>
      </c>
      <c r="P301" t="s">
        <v>2017</v>
      </c>
    </row>
    <row r="302" spans="1:16" x14ac:dyDescent="0.3">
      <c r="A302" t="s">
        <v>2018</v>
      </c>
      <c r="C302" t="s">
        <v>1346</v>
      </c>
      <c r="D302" t="s">
        <v>408</v>
      </c>
      <c r="E302" t="s">
        <v>409</v>
      </c>
      <c r="G302" t="s">
        <v>20</v>
      </c>
      <c r="H302">
        <v>4100</v>
      </c>
      <c r="I302">
        <v>22.037500000000001</v>
      </c>
      <c r="J302">
        <v>4077.9625000000001</v>
      </c>
      <c r="O302" t="s">
        <v>21</v>
      </c>
      <c r="P302" t="s">
        <v>2019</v>
      </c>
    </row>
    <row r="303" spans="1:16" x14ac:dyDescent="0.3">
      <c r="A303" t="s">
        <v>2020</v>
      </c>
      <c r="B303" s="1" t="s">
        <v>2021</v>
      </c>
      <c r="C303" t="s">
        <v>1346</v>
      </c>
      <c r="D303" t="s">
        <v>1203</v>
      </c>
      <c r="E303" t="s">
        <v>19</v>
      </c>
      <c r="G303" t="s">
        <v>20</v>
      </c>
      <c r="H303">
        <v>15000</v>
      </c>
      <c r="I303">
        <v>25</v>
      </c>
      <c r="J303">
        <v>0</v>
      </c>
      <c r="O303" t="s">
        <v>21</v>
      </c>
      <c r="P303" t="s">
        <v>2022</v>
      </c>
    </row>
    <row r="304" spans="1:16" x14ac:dyDescent="0.3">
      <c r="A304" t="s">
        <v>2023</v>
      </c>
      <c r="C304" t="s">
        <v>1346</v>
      </c>
      <c r="D304" t="s">
        <v>404</v>
      </c>
      <c r="E304" t="s">
        <v>19</v>
      </c>
      <c r="F304" t="s">
        <v>796</v>
      </c>
      <c r="G304" t="s">
        <v>20</v>
      </c>
      <c r="H304">
        <v>15217</v>
      </c>
      <c r="I304">
        <v>0</v>
      </c>
      <c r="J304">
        <v>0</v>
      </c>
      <c r="O304" t="s">
        <v>21</v>
      </c>
      <c r="P304" t="s">
        <v>2024</v>
      </c>
    </row>
    <row r="305" spans="1:16" x14ac:dyDescent="0.3">
      <c r="A305" t="s">
        <v>2025</v>
      </c>
      <c r="C305" t="s">
        <v>1346</v>
      </c>
      <c r="D305" t="s">
        <v>408</v>
      </c>
      <c r="E305" t="s">
        <v>409</v>
      </c>
      <c r="G305" t="s">
        <v>20</v>
      </c>
      <c r="H305">
        <v>5100</v>
      </c>
      <c r="I305">
        <v>27.412500000000001</v>
      </c>
      <c r="J305">
        <v>5072.5874999999996</v>
      </c>
      <c r="O305" t="s">
        <v>21</v>
      </c>
      <c r="P305" t="s">
        <v>2026</v>
      </c>
    </row>
    <row r="306" spans="1:16" x14ac:dyDescent="0.3">
      <c r="A306" t="s">
        <v>2027</v>
      </c>
      <c r="B306" s="1" t="s">
        <v>2028</v>
      </c>
      <c r="C306" t="s">
        <v>1346</v>
      </c>
      <c r="D306" t="s">
        <v>1203</v>
      </c>
      <c r="E306" t="s">
        <v>19</v>
      </c>
      <c r="G306" t="s">
        <v>20</v>
      </c>
      <c r="H306">
        <v>17000</v>
      </c>
      <c r="I306">
        <v>25</v>
      </c>
      <c r="J306">
        <v>0</v>
      </c>
      <c r="O306" t="s">
        <v>21</v>
      </c>
      <c r="P306" t="s">
        <v>2029</v>
      </c>
    </row>
    <row r="307" spans="1:16" x14ac:dyDescent="0.3">
      <c r="A307" t="s">
        <v>2030</v>
      </c>
      <c r="C307" t="s">
        <v>1346</v>
      </c>
      <c r="D307" t="s">
        <v>408</v>
      </c>
      <c r="E307" t="s">
        <v>409</v>
      </c>
      <c r="G307" t="s">
        <v>20</v>
      </c>
      <c r="H307">
        <v>10200</v>
      </c>
      <c r="I307">
        <v>54.825000000000003</v>
      </c>
      <c r="J307">
        <v>10145.174999999999</v>
      </c>
      <c r="O307" t="s">
        <v>21</v>
      </c>
      <c r="P307" t="s">
        <v>2031</v>
      </c>
    </row>
    <row r="308" spans="1:16" x14ac:dyDescent="0.3">
      <c r="A308" t="s">
        <v>2032</v>
      </c>
      <c r="C308" t="s">
        <v>1346</v>
      </c>
      <c r="D308" t="s">
        <v>404</v>
      </c>
      <c r="E308" t="s">
        <v>19</v>
      </c>
      <c r="F308" t="s">
        <v>811</v>
      </c>
      <c r="G308" t="s">
        <v>20</v>
      </c>
      <c r="H308">
        <v>17306</v>
      </c>
      <c r="I308">
        <v>0</v>
      </c>
      <c r="J308">
        <v>0</v>
      </c>
      <c r="O308" t="s">
        <v>21</v>
      </c>
      <c r="P308" t="s">
        <v>2033</v>
      </c>
    </row>
    <row r="309" spans="1:16" x14ac:dyDescent="0.3">
      <c r="A309" t="s">
        <v>2034</v>
      </c>
      <c r="C309" t="s">
        <v>1346</v>
      </c>
      <c r="D309" t="s">
        <v>408</v>
      </c>
      <c r="E309" t="s">
        <v>409</v>
      </c>
      <c r="G309" t="s">
        <v>20</v>
      </c>
      <c r="H309">
        <v>10200</v>
      </c>
      <c r="I309">
        <v>54.825000000000003</v>
      </c>
      <c r="J309">
        <v>10145.174999999999</v>
      </c>
      <c r="O309" t="s">
        <v>21</v>
      </c>
      <c r="P309" t="s">
        <v>2035</v>
      </c>
    </row>
    <row r="310" spans="1:16" x14ac:dyDescent="0.3">
      <c r="A310" t="s">
        <v>2036</v>
      </c>
      <c r="C310" t="s">
        <v>1346</v>
      </c>
      <c r="D310" t="s">
        <v>408</v>
      </c>
      <c r="E310" t="s">
        <v>409</v>
      </c>
      <c r="G310" t="s">
        <v>20</v>
      </c>
      <c r="H310">
        <v>5100</v>
      </c>
      <c r="I310">
        <v>27.412500000000001</v>
      </c>
      <c r="J310">
        <v>5072.5874999999996</v>
      </c>
      <c r="O310" t="s">
        <v>21</v>
      </c>
      <c r="P310" t="s">
        <v>2037</v>
      </c>
    </row>
    <row r="311" spans="1:16" x14ac:dyDescent="0.3">
      <c r="A311" t="s">
        <v>2038</v>
      </c>
      <c r="B311" s="1" t="s">
        <v>2039</v>
      </c>
      <c r="C311" t="s">
        <v>1346</v>
      </c>
      <c r="D311" t="s">
        <v>1203</v>
      </c>
      <c r="E311" t="s">
        <v>19</v>
      </c>
      <c r="G311" t="s">
        <v>20</v>
      </c>
      <c r="H311">
        <v>2000</v>
      </c>
      <c r="I311">
        <v>25</v>
      </c>
      <c r="J311">
        <v>0</v>
      </c>
      <c r="O311" t="s">
        <v>21</v>
      </c>
      <c r="P311" t="s">
        <v>2040</v>
      </c>
    </row>
    <row r="312" spans="1:16" x14ac:dyDescent="0.3">
      <c r="A312" t="s">
        <v>2041</v>
      </c>
      <c r="C312" t="s">
        <v>1346</v>
      </c>
      <c r="D312" t="s">
        <v>408</v>
      </c>
      <c r="E312" t="s">
        <v>409</v>
      </c>
      <c r="G312" t="s">
        <v>20</v>
      </c>
      <c r="H312">
        <v>2100</v>
      </c>
      <c r="I312">
        <v>11.2875</v>
      </c>
      <c r="J312">
        <v>2088.7125000000001</v>
      </c>
      <c r="O312" t="s">
        <v>21</v>
      </c>
      <c r="P312" t="s">
        <v>2042</v>
      </c>
    </row>
    <row r="313" spans="1:16" x14ac:dyDescent="0.3">
      <c r="A313" t="s">
        <v>2043</v>
      </c>
      <c r="C313" t="s">
        <v>1346</v>
      </c>
      <c r="D313" t="s">
        <v>404</v>
      </c>
      <c r="E313" t="s">
        <v>19</v>
      </c>
      <c r="F313" t="s">
        <v>822</v>
      </c>
      <c r="G313" t="s">
        <v>20</v>
      </c>
      <c r="H313">
        <v>2088</v>
      </c>
      <c r="I313">
        <v>0</v>
      </c>
      <c r="J313">
        <v>0</v>
      </c>
      <c r="O313" t="s">
        <v>21</v>
      </c>
      <c r="P313" t="s">
        <v>2044</v>
      </c>
    </row>
    <row r="314" spans="1:16" x14ac:dyDescent="0.3">
      <c r="A314" t="s">
        <v>2045</v>
      </c>
      <c r="C314" t="s">
        <v>1346</v>
      </c>
      <c r="D314" t="s">
        <v>29</v>
      </c>
      <c r="E314" t="s">
        <v>409</v>
      </c>
      <c r="G314" t="s">
        <v>20</v>
      </c>
      <c r="H314">
        <v>2100</v>
      </c>
      <c r="I314">
        <v>11.2875</v>
      </c>
      <c r="J314">
        <v>2088.7125000000001</v>
      </c>
      <c r="O314" t="s">
        <v>21</v>
      </c>
      <c r="P314" t="s">
        <v>2046</v>
      </c>
    </row>
    <row r="315" spans="1:16" x14ac:dyDescent="0.3">
      <c r="A315" t="s">
        <v>2047</v>
      </c>
      <c r="B315" s="1" t="s">
        <v>2048</v>
      </c>
      <c r="C315" t="s">
        <v>1346</v>
      </c>
      <c r="D315" t="s">
        <v>1203</v>
      </c>
      <c r="E315" t="s">
        <v>19</v>
      </c>
      <c r="G315" t="s">
        <v>20</v>
      </c>
      <c r="H315">
        <v>61000</v>
      </c>
      <c r="I315">
        <v>25</v>
      </c>
      <c r="J315">
        <v>0</v>
      </c>
      <c r="O315" t="s">
        <v>21</v>
      </c>
      <c r="P315" t="s">
        <v>2049</v>
      </c>
    </row>
    <row r="316" spans="1:16" x14ac:dyDescent="0.3">
      <c r="A316" t="s">
        <v>2050</v>
      </c>
      <c r="C316" t="s">
        <v>1346</v>
      </c>
      <c r="D316" t="s">
        <v>404</v>
      </c>
      <c r="E316" t="s">
        <v>19</v>
      </c>
      <c r="F316" t="s">
        <v>833</v>
      </c>
      <c r="G316" t="s">
        <v>20</v>
      </c>
      <c r="H316">
        <v>60303</v>
      </c>
      <c r="I316">
        <v>0</v>
      </c>
      <c r="J316">
        <v>0</v>
      </c>
      <c r="O316" t="s">
        <v>21</v>
      </c>
      <c r="P316" t="s">
        <v>2051</v>
      </c>
    </row>
    <row r="317" spans="1:16" x14ac:dyDescent="0.3">
      <c r="A317" t="s">
        <v>2052</v>
      </c>
      <c r="C317" t="s">
        <v>1346</v>
      </c>
      <c r="D317" t="s">
        <v>29</v>
      </c>
      <c r="E317" t="s">
        <v>409</v>
      </c>
      <c r="G317" t="s">
        <v>20</v>
      </c>
      <c r="H317">
        <v>20400</v>
      </c>
      <c r="I317">
        <v>107.5</v>
      </c>
      <c r="J317">
        <v>20292.5</v>
      </c>
      <c r="O317" t="s">
        <v>21</v>
      </c>
      <c r="P317" t="s">
        <v>2053</v>
      </c>
    </row>
    <row r="318" spans="1:16" x14ac:dyDescent="0.3">
      <c r="A318" t="s">
        <v>2054</v>
      </c>
      <c r="C318" t="s">
        <v>1346</v>
      </c>
      <c r="D318" t="s">
        <v>29</v>
      </c>
      <c r="E318" t="s">
        <v>409</v>
      </c>
      <c r="G318" t="s">
        <v>20</v>
      </c>
      <c r="H318">
        <v>5100</v>
      </c>
      <c r="I318">
        <v>27.412500000000001</v>
      </c>
      <c r="J318">
        <v>5072.5874999999996</v>
      </c>
      <c r="O318" t="s">
        <v>21</v>
      </c>
      <c r="P318" t="s">
        <v>2055</v>
      </c>
    </row>
    <row r="319" spans="1:16" x14ac:dyDescent="0.3">
      <c r="A319" t="s">
        <v>2056</v>
      </c>
      <c r="C319" t="s">
        <v>1346</v>
      </c>
      <c r="D319" t="s">
        <v>29</v>
      </c>
      <c r="E319" t="s">
        <v>409</v>
      </c>
      <c r="G319" t="s">
        <v>20</v>
      </c>
      <c r="H319">
        <v>5100</v>
      </c>
      <c r="I319">
        <v>27.412500000000001</v>
      </c>
      <c r="J319">
        <v>5072.5874999999996</v>
      </c>
      <c r="O319" t="s">
        <v>21</v>
      </c>
      <c r="P319" t="s">
        <v>2057</v>
      </c>
    </row>
    <row r="320" spans="1:16" x14ac:dyDescent="0.3">
      <c r="A320" t="s">
        <v>2058</v>
      </c>
      <c r="C320" t="s">
        <v>1346</v>
      </c>
      <c r="D320" t="s">
        <v>29</v>
      </c>
      <c r="E320" t="s">
        <v>409</v>
      </c>
      <c r="G320" t="s">
        <v>20</v>
      </c>
      <c r="H320">
        <v>5000</v>
      </c>
      <c r="I320" s="1" t="s">
        <v>1275</v>
      </c>
      <c r="J320">
        <v>4973.125</v>
      </c>
      <c r="O320" t="s">
        <v>21</v>
      </c>
      <c r="P320" t="s">
        <v>2059</v>
      </c>
    </row>
    <row r="321" spans="1:16" x14ac:dyDescent="0.3">
      <c r="A321" t="s">
        <v>2060</v>
      </c>
      <c r="C321" t="s">
        <v>1346</v>
      </c>
      <c r="D321" t="s">
        <v>29</v>
      </c>
      <c r="E321" t="s">
        <v>409</v>
      </c>
      <c r="G321" t="s">
        <v>20</v>
      </c>
      <c r="H321">
        <v>25000</v>
      </c>
      <c r="I321">
        <v>107.5</v>
      </c>
      <c r="J321">
        <v>24892.5</v>
      </c>
      <c r="O321" t="s">
        <v>21</v>
      </c>
      <c r="P321" t="s">
        <v>2061</v>
      </c>
    </row>
    <row r="322" spans="1:16" x14ac:dyDescent="0.3">
      <c r="A322" t="s">
        <v>2062</v>
      </c>
      <c r="B322" s="1" t="s">
        <v>2063</v>
      </c>
      <c r="C322" t="s">
        <v>1346</v>
      </c>
      <c r="D322" t="s">
        <v>1203</v>
      </c>
      <c r="E322" t="s">
        <v>19</v>
      </c>
      <c r="G322" t="s">
        <v>20</v>
      </c>
      <c r="H322">
        <v>36000</v>
      </c>
      <c r="I322">
        <v>25</v>
      </c>
      <c r="J322">
        <v>0</v>
      </c>
      <c r="O322" t="s">
        <v>21</v>
      </c>
      <c r="P322" t="s">
        <v>2064</v>
      </c>
    </row>
    <row r="323" spans="1:16" x14ac:dyDescent="0.3">
      <c r="A323" t="s">
        <v>2065</v>
      </c>
      <c r="C323" t="s">
        <v>1346</v>
      </c>
      <c r="D323" t="s">
        <v>404</v>
      </c>
      <c r="E323" t="s">
        <v>19</v>
      </c>
      <c r="F323" t="s">
        <v>2066</v>
      </c>
      <c r="G323" t="s">
        <v>20</v>
      </c>
      <c r="H323">
        <v>34515</v>
      </c>
      <c r="I323">
        <v>0</v>
      </c>
      <c r="J323">
        <v>0</v>
      </c>
      <c r="O323" t="s">
        <v>21</v>
      </c>
      <c r="P323" t="s">
        <v>2067</v>
      </c>
    </row>
    <row r="324" spans="1:16" x14ac:dyDescent="0.3">
      <c r="A324" t="s">
        <v>2068</v>
      </c>
      <c r="C324" t="s">
        <v>1346</v>
      </c>
      <c r="D324" t="s">
        <v>29</v>
      </c>
      <c r="E324" t="s">
        <v>409</v>
      </c>
      <c r="G324" t="s">
        <v>20</v>
      </c>
      <c r="H324">
        <v>4100</v>
      </c>
      <c r="I324">
        <v>22.037500000000001</v>
      </c>
      <c r="J324">
        <v>4077.9625000000001</v>
      </c>
      <c r="O324" t="s">
        <v>21</v>
      </c>
      <c r="P324" t="s">
        <v>2069</v>
      </c>
    </row>
    <row r="325" spans="1:16" x14ac:dyDescent="0.3">
      <c r="A325" t="s">
        <v>2070</v>
      </c>
      <c r="C325" t="s">
        <v>1346</v>
      </c>
      <c r="D325" t="s">
        <v>29</v>
      </c>
      <c r="E325" t="s">
        <v>409</v>
      </c>
      <c r="G325" t="s">
        <v>20</v>
      </c>
      <c r="H325">
        <v>5100</v>
      </c>
      <c r="I325">
        <v>27.412500000000001</v>
      </c>
      <c r="J325">
        <v>5072.5874999999996</v>
      </c>
      <c r="O325" t="s">
        <v>21</v>
      </c>
      <c r="P325" t="s">
        <v>2071</v>
      </c>
    </row>
    <row r="326" spans="1:16" x14ac:dyDescent="0.3">
      <c r="A326" t="s">
        <v>2072</v>
      </c>
      <c r="C326" t="s">
        <v>1346</v>
      </c>
      <c r="D326" t="s">
        <v>29</v>
      </c>
      <c r="E326" t="s">
        <v>409</v>
      </c>
      <c r="G326" t="s">
        <v>20</v>
      </c>
      <c r="H326">
        <v>5100</v>
      </c>
      <c r="I326">
        <v>27.412500000000001</v>
      </c>
      <c r="J326">
        <v>5072.5874999999996</v>
      </c>
      <c r="O326" t="s">
        <v>21</v>
      </c>
      <c r="P326" t="s">
        <v>2073</v>
      </c>
    </row>
    <row r="327" spans="1:16" x14ac:dyDescent="0.3">
      <c r="A327" t="s">
        <v>2074</v>
      </c>
      <c r="C327" t="s">
        <v>1346</v>
      </c>
      <c r="D327" t="s">
        <v>29</v>
      </c>
      <c r="E327" t="s">
        <v>409</v>
      </c>
      <c r="G327" t="s">
        <v>20</v>
      </c>
      <c r="H327">
        <v>20400</v>
      </c>
      <c r="I327">
        <v>107.5</v>
      </c>
      <c r="J327">
        <v>20292.5</v>
      </c>
      <c r="O327" t="s">
        <v>21</v>
      </c>
      <c r="P327" t="s">
        <v>2075</v>
      </c>
    </row>
    <row r="328" spans="1:16" x14ac:dyDescent="0.3">
      <c r="A328" t="s">
        <v>2076</v>
      </c>
      <c r="C328" t="s">
        <v>1346</v>
      </c>
      <c r="D328" t="s">
        <v>408</v>
      </c>
      <c r="E328" t="s">
        <v>409</v>
      </c>
      <c r="G328" t="s">
        <v>20</v>
      </c>
      <c r="H328">
        <v>1000</v>
      </c>
      <c r="I328">
        <v>5.375</v>
      </c>
      <c r="J328">
        <v>994.625</v>
      </c>
      <c r="O328" t="s">
        <v>412</v>
      </c>
      <c r="P328" t="s">
        <v>2077</v>
      </c>
    </row>
    <row r="329" spans="1:16" x14ac:dyDescent="0.3">
      <c r="A329" t="s">
        <v>2078</v>
      </c>
      <c r="C329" t="s">
        <v>1346</v>
      </c>
      <c r="D329" t="s">
        <v>408</v>
      </c>
      <c r="E329" t="s">
        <v>409</v>
      </c>
      <c r="G329" t="s">
        <v>20</v>
      </c>
      <c r="H329">
        <v>1000</v>
      </c>
      <c r="I329">
        <v>5.375</v>
      </c>
      <c r="J329">
        <v>994.625</v>
      </c>
      <c r="O329" t="s">
        <v>412</v>
      </c>
      <c r="P329" t="s">
        <v>2079</v>
      </c>
    </row>
    <row r="330" spans="1:16" x14ac:dyDescent="0.3">
      <c r="A330" t="s">
        <v>2080</v>
      </c>
      <c r="C330" t="s">
        <v>1346</v>
      </c>
      <c r="D330" t="s">
        <v>408</v>
      </c>
      <c r="E330" t="s">
        <v>409</v>
      </c>
      <c r="G330" t="s">
        <v>20</v>
      </c>
      <c r="H330">
        <v>5100</v>
      </c>
      <c r="I330">
        <v>27.412500000000001</v>
      </c>
      <c r="J330">
        <v>5072.5874999999996</v>
      </c>
      <c r="O330" t="s">
        <v>412</v>
      </c>
      <c r="P330" t="s">
        <v>2081</v>
      </c>
    </row>
    <row r="331" spans="1:16" x14ac:dyDescent="0.3">
      <c r="A331" t="s">
        <v>2082</v>
      </c>
      <c r="C331" t="s">
        <v>1346</v>
      </c>
      <c r="D331" t="s">
        <v>404</v>
      </c>
      <c r="E331" t="s">
        <v>19</v>
      </c>
      <c r="F331" t="s">
        <v>858</v>
      </c>
      <c r="G331" t="s">
        <v>20</v>
      </c>
      <c r="H331">
        <v>2088</v>
      </c>
      <c r="I331">
        <v>0</v>
      </c>
      <c r="J331">
        <v>0</v>
      </c>
      <c r="O331" t="s">
        <v>21</v>
      </c>
      <c r="P331" t="s">
        <v>2083</v>
      </c>
    </row>
    <row r="332" spans="1:16" x14ac:dyDescent="0.3">
      <c r="A332" t="s">
        <v>2084</v>
      </c>
      <c r="C332" t="s">
        <v>1346</v>
      </c>
      <c r="D332" t="s">
        <v>408</v>
      </c>
      <c r="E332" t="s">
        <v>409</v>
      </c>
      <c r="G332" t="s">
        <v>20</v>
      </c>
      <c r="H332">
        <v>4100</v>
      </c>
      <c r="I332">
        <v>22.037500000000001</v>
      </c>
      <c r="J332">
        <v>4077.9625000000001</v>
      </c>
      <c r="O332" t="s">
        <v>412</v>
      </c>
      <c r="P332" t="s">
        <v>2085</v>
      </c>
    </row>
    <row r="333" spans="1:16" x14ac:dyDescent="0.3">
      <c r="A333" t="e">
        <f>-qdo3dXGa108ntut42_gu</f>
        <v>#NAME?</v>
      </c>
      <c r="C333" t="s">
        <v>1346</v>
      </c>
      <c r="D333" t="s">
        <v>408</v>
      </c>
      <c r="E333" t="s">
        <v>409</v>
      </c>
      <c r="G333" t="s">
        <v>20</v>
      </c>
      <c r="H333">
        <v>4100</v>
      </c>
      <c r="I333">
        <v>22.037500000000001</v>
      </c>
      <c r="J333">
        <v>4077.9625000000001</v>
      </c>
      <c r="O333" t="s">
        <v>412</v>
      </c>
      <c r="P333" t="s">
        <v>2086</v>
      </c>
    </row>
    <row r="334" spans="1:16" x14ac:dyDescent="0.3">
      <c r="A334" t="s">
        <v>2087</v>
      </c>
      <c r="C334" t="s">
        <v>1346</v>
      </c>
      <c r="D334" t="s">
        <v>408</v>
      </c>
      <c r="E334" t="s">
        <v>409</v>
      </c>
      <c r="G334" t="s">
        <v>20</v>
      </c>
      <c r="H334">
        <v>2000</v>
      </c>
      <c r="I334">
        <v>10.75</v>
      </c>
      <c r="J334">
        <v>1989.25</v>
      </c>
      <c r="O334" t="s">
        <v>412</v>
      </c>
      <c r="P334" t="s">
        <v>2088</v>
      </c>
    </row>
    <row r="335" spans="1:16" x14ac:dyDescent="0.3">
      <c r="A335" t="s">
        <v>2089</v>
      </c>
      <c r="C335" t="s">
        <v>1346</v>
      </c>
      <c r="D335" t="s">
        <v>408</v>
      </c>
      <c r="E335" t="s">
        <v>409</v>
      </c>
      <c r="G335" t="s">
        <v>20</v>
      </c>
      <c r="H335">
        <v>2000</v>
      </c>
      <c r="I335">
        <v>10.75</v>
      </c>
      <c r="J335">
        <v>1989.25</v>
      </c>
      <c r="O335" t="s">
        <v>412</v>
      </c>
      <c r="P335" t="s">
        <v>2090</v>
      </c>
    </row>
    <row r="336" spans="1:16" x14ac:dyDescent="0.3">
      <c r="A336" t="s">
        <v>2091</v>
      </c>
      <c r="C336" t="s">
        <v>1346</v>
      </c>
      <c r="D336" t="s">
        <v>29</v>
      </c>
      <c r="E336" t="s">
        <v>409</v>
      </c>
      <c r="G336" t="s">
        <v>20</v>
      </c>
      <c r="H336">
        <v>2100</v>
      </c>
      <c r="I336">
        <v>11.2875</v>
      </c>
      <c r="J336">
        <v>2088.7125000000001</v>
      </c>
      <c r="O336" t="s">
        <v>21</v>
      </c>
      <c r="P336" t="s">
        <v>2092</v>
      </c>
    </row>
    <row r="337" spans="1:16" x14ac:dyDescent="0.3">
      <c r="A337" t="s">
        <v>2093</v>
      </c>
      <c r="B337" s="1" t="s">
        <v>2094</v>
      </c>
      <c r="C337" t="s">
        <v>1346</v>
      </c>
      <c r="D337" t="s">
        <v>1203</v>
      </c>
      <c r="E337" t="s">
        <v>19</v>
      </c>
      <c r="G337" t="s">
        <v>20</v>
      </c>
      <c r="H337">
        <v>32000</v>
      </c>
      <c r="I337">
        <v>25</v>
      </c>
      <c r="J337">
        <v>0</v>
      </c>
      <c r="O337" t="s">
        <v>21</v>
      </c>
      <c r="P337" t="s">
        <v>2095</v>
      </c>
    </row>
    <row r="338" spans="1:16" x14ac:dyDescent="0.3">
      <c r="A338" t="s">
        <v>2096</v>
      </c>
      <c r="C338" t="s">
        <v>1346</v>
      </c>
      <c r="D338" t="s">
        <v>404</v>
      </c>
      <c r="E338" t="s">
        <v>19</v>
      </c>
      <c r="F338" t="s">
        <v>892</v>
      </c>
      <c r="G338" t="s">
        <v>20</v>
      </c>
      <c r="H338">
        <v>31529</v>
      </c>
      <c r="I338">
        <v>0</v>
      </c>
      <c r="J338">
        <v>0</v>
      </c>
      <c r="O338" t="s">
        <v>21</v>
      </c>
      <c r="P338" t="s">
        <v>2097</v>
      </c>
    </row>
    <row r="339" spans="1:16" x14ac:dyDescent="0.3">
      <c r="A339" t="s">
        <v>2098</v>
      </c>
      <c r="C339" t="s">
        <v>1346</v>
      </c>
      <c r="D339" t="s">
        <v>29</v>
      </c>
      <c r="E339" t="s">
        <v>409</v>
      </c>
      <c r="G339" t="s">
        <v>20</v>
      </c>
      <c r="H339">
        <v>5100</v>
      </c>
      <c r="I339">
        <v>27.412500000000001</v>
      </c>
      <c r="J339">
        <v>5072.5874999999996</v>
      </c>
      <c r="O339" t="s">
        <v>21</v>
      </c>
      <c r="P339" t="s">
        <v>2099</v>
      </c>
    </row>
    <row r="340" spans="1:16" x14ac:dyDescent="0.3">
      <c r="A340" t="s">
        <v>2100</v>
      </c>
      <c r="C340" t="s">
        <v>1346</v>
      </c>
      <c r="D340" t="s">
        <v>29</v>
      </c>
      <c r="E340" t="s">
        <v>409</v>
      </c>
      <c r="G340" t="s">
        <v>20</v>
      </c>
      <c r="H340">
        <v>5200</v>
      </c>
      <c r="I340">
        <v>27.95</v>
      </c>
      <c r="J340">
        <v>5172.05</v>
      </c>
      <c r="O340" t="s">
        <v>21</v>
      </c>
      <c r="P340" t="s">
        <v>2101</v>
      </c>
    </row>
    <row r="341" spans="1:16" x14ac:dyDescent="0.3">
      <c r="A341" t="s">
        <v>2102</v>
      </c>
      <c r="C341" t="s">
        <v>1346</v>
      </c>
      <c r="D341" t="s">
        <v>29</v>
      </c>
      <c r="E341" t="s">
        <v>409</v>
      </c>
      <c r="G341" t="s">
        <v>20</v>
      </c>
      <c r="H341">
        <v>10200</v>
      </c>
      <c r="I341">
        <v>54.825000000000003</v>
      </c>
      <c r="J341">
        <v>10145.174999999999</v>
      </c>
      <c r="O341" t="s">
        <v>21</v>
      </c>
      <c r="P341" t="s">
        <v>2103</v>
      </c>
    </row>
    <row r="342" spans="1:16" x14ac:dyDescent="0.3">
      <c r="A342" t="s">
        <v>2104</v>
      </c>
      <c r="C342" t="s">
        <v>1346</v>
      </c>
      <c r="D342" t="s">
        <v>29</v>
      </c>
      <c r="E342" t="s">
        <v>409</v>
      </c>
      <c r="G342" t="s">
        <v>20</v>
      </c>
      <c r="H342">
        <v>10200</v>
      </c>
      <c r="I342">
        <v>54.825000000000003</v>
      </c>
      <c r="J342">
        <v>10145.174999999999</v>
      </c>
      <c r="O342" t="s">
        <v>21</v>
      </c>
      <c r="P342" t="s">
        <v>2105</v>
      </c>
    </row>
    <row r="343" spans="1:16" x14ac:dyDescent="0.3">
      <c r="A343" t="s">
        <v>2106</v>
      </c>
      <c r="C343" t="s">
        <v>1346</v>
      </c>
      <c r="D343" t="s">
        <v>29</v>
      </c>
      <c r="E343" t="s">
        <v>409</v>
      </c>
      <c r="G343" t="s">
        <v>20</v>
      </c>
      <c r="H343">
        <v>1000</v>
      </c>
      <c r="I343">
        <v>5.375</v>
      </c>
      <c r="J343">
        <v>994.625</v>
      </c>
      <c r="O343" t="s">
        <v>21</v>
      </c>
      <c r="P343" t="s">
        <v>2107</v>
      </c>
    </row>
    <row r="344" spans="1:16" x14ac:dyDescent="0.3">
      <c r="A344" t="s">
        <v>2108</v>
      </c>
      <c r="B344" s="1" t="s">
        <v>2109</v>
      </c>
      <c r="C344" t="s">
        <v>1346</v>
      </c>
      <c r="D344" t="s">
        <v>1203</v>
      </c>
      <c r="E344" t="s">
        <v>19</v>
      </c>
      <c r="G344" t="s">
        <v>20</v>
      </c>
      <c r="H344">
        <v>12000</v>
      </c>
      <c r="I344">
        <v>25</v>
      </c>
      <c r="J344">
        <v>0</v>
      </c>
      <c r="O344" t="s">
        <v>21</v>
      </c>
      <c r="P344" t="s">
        <v>2110</v>
      </c>
    </row>
    <row r="345" spans="1:16" x14ac:dyDescent="0.3">
      <c r="A345" t="s">
        <v>2111</v>
      </c>
      <c r="C345" t="s">
        <v>1346</v>
      </c>
      <c r="D345" t="s">
        <v>404</v>
      </c>
      <c r="E345" t="s">
        <v>19</v>
      </c>
      <c r="F345" t="s">
        <v>931</v>
      </c>
      <c r="G345" t="s">
        <v>20</v>
      </c>
      <c r="H345">
        <v>12532</v>
      </c>
      <c r="I345">
        <v>0</v>
      </c>
      <c r="J345">
        <v>0</v>
      </c>
      <c r="O345" t="s">
        <v>21</v>
      </c>
      <c r="P345" t="s">
        <v>2112</v>
      </c>
    </row>
    <row r="346" spans="1:16" x14ac:dyDescent="0.3">
      <c r="A346" t="s">
        <v>2113</v>
      </c>
      <c r="C346" t="s">
        <v>1346</v>
      </c>
      <c r="D346" t="s">
        <v>29</v>
      </c>
      <c r="E346" t="s">
        <v>409</v>
      </c>
      <c r="G346" t="s">
        <v>20</v>
      </c>
      <c r="H346">
        <v>5000</v>
      </c>
      <c r="I346" s="1" t="s">
        <v>1275</v>
      </c>
      <c r="J346">
        <v>4973.125</v>
      </c>
      <c r="O346" t="s">
        <v>21</v>
      </c>
      <c r="P346" t="s">
        <v>2114</v>
      </c>
    </row>
    <row r="347" spans="1:16" x14ac:dyDescent="0.3">
      <c r="A347" t="s">
        <v>2115</v>
      </c>
      <c r="C347" t="s">
        <v>1346</v>
      </c>
      <c r="D347" t="s">
        <v>29</v>
      </c>
      <c r="E347" t="s">
        <v>409</v>
      </c>
      <c r="G347" t="s">
        <v>20</v>
      </c>
      <c r="H347">
        <v>4100</v>
      </c>
      <c r="I347">
        <v>22.037500000000001</v>
      </c>
      <c r="J347">
        <v>4077.9625000000001</v>
      </c>
      <c r="O347" t="s">
        <v>21</v>
      </c>
      <c r="P347" t="s">
        <v>2116</v>
      </c>
    </row>
    <row r="348" spans="1:16" x14ac:dyDescent="0.3">
      <c r="A348" t="s">
        <v>2117</v>
      </c>
      <c r="C348" t="s">
        <v>1346</v>
      </c>
      <c r="D348" t="s">
        <v>29</v>
      </c>
      <c r="E348" t="s">
        <v>409</v>
      </c>
      <c r="G348" t="s">
        <v>20</v>
      </c>
      <c r="H348">
        <v>3500</v>
      </c>
      <c r="I348">
        <v>18.8125</v>
      </c>
      <c r="J348">
        <v>3481.1875</v>
      </c>
      <c r="O348" t="s">
        <v>21</v>
      </c>
      <c r="P348" t="s">
        <v>2118</v>
      </c>
    </row>
    <row r="349" spans="1:16" x14ac:dyDescent="0.3">
      <c r="A349" t="s">
        <v>2119</v>
      </c>
      <c r="B349" s="1" t="s">
        <v>2120</v>
      </c>
      <c r="C349" t="s">
        <v>1346</v>
      </c>
      <c r="D349" t="s">
        <v>1203</v>
      </c>
      <c r="E349" t="s">
        <v>19</v>
      </c>
      <c r="G349" t="s">
        <v>20</v>
      </c>
      <c r="H349">
        <v>7000</v>
      </c>
      <c r="I349">
        <v>25</v>
      </c>
      <c r="J349">
        <v>0</v>
      </c>
      <c r="O349" t="s">
        <v>21</v>
      </c>
      <c r="P349" t="s">
        <v>2121</v>
      </c>
    </row>
    <row r="350" spans="1:16" x14ac:dyDescent="0.3">
      <c r="A350" t="s">
        <v>2122</v>
      </c>
      <c r="C350" t="s">
        <v>1346</v>
      </c>
      <c r="D350" t="s">
        <v>404</v>
      </c>
      <c r="E350" t="s">
        <v>19</v>
      </c>
      <c r="F350" t="s">
        <v>942</v>
      </c>
      <c r="G350" t="s">
        <v>20</v>
      </c>
      <c r="H350">
        <v>6564</v>
      </c>
      <c r="I350">
        <v>0</v>
      </c>
      <c r="J350">
        <v>0</v>
      </c>
      <c r="O350" t="s">
        <v>21</v>
      </c>
      <c r="P350" t="s">
        <v>2123</v>
      </c>
    </row>
    <row r="351" spans="1:16" x14ac:dyDescent="0.3">
      <c r="A351" t="s">
        <v>2124</v>
      </c>
      <c r="B351" s="1" t="s">
        <v>2125</v>
      </c>
      <c r="C351" t="s">
        <v>1346</v>
      </c>
      <c r="D351" t="s">
        <v>1203</v>
      </c>
      <c r="E351" t="s">
        <v>19</v>
      </c>
      <c r="G351" t="s">
        <v>20</v>
      </c>
      <c r="H351">
        <v>23000</v>
      </c>
      <c r="I351">
        <v>25</v>
      </c>
      <c r="J351">
        <v>0</v>
      </c>
      <c r="O351" t="s">
        <v>21</v>
      </c>
      <c r="P351" t="s">
        <v>2126</v>
      </c>
    </row>
    <row r="352" spans="1:16" x14ac:dyDescent="0.3">
      <c r="A352" t="s">
        <v>2127</v>
      </c>
      <c r="C352" t="s">
        <v>1346</v>
      </c>
      <c r="D352" t="s">
        <v>29</v>
      </c>
      <c r="E352" t="s">
        <v>409</v>
      </c>
      <c r="G352" t="s">
        <v>20</v>
      </c>
      <c r="H352">
        <v>2500</v>
      </c>
      <c r="I352" s="1" t="s">
        <v>1255</v>
      </c>
      <c r="J352">
        <v>2486.5625</v>
      </c>
      <c r="O352" t="s">
        <v>21</v>
      </c>
      <c r="P352" t="s">
        <v>2128</v>
      </c>
    </row>
    <row r="353" spans="1:16" x14ac:dyDescent="0.3">
      <c r="A353" t="s">
        <v>2129</v>
      </c>
      <c r="C353" t="s">
        <v>1346</v>
      </c>
      <c r="D353" t="s">
        <v>29</v>
      </c>
      <c r="E353" t="s">
        <v>409</v>
      </c>
      <c r="G353" t="s">
        <v>20</v>
      </c>
      <c r="H353">
        <v>4100</v>
      </c>
      <c r="I353">
        <v>22.037500000000001</v>
      </c>
      <c r="J353">
        <v>4077.9625000000001</v>
      </c>
      <c r="O353" t="s">
        <v>21</v>
      </c>
      <c r="P353" t="s">
        <v>2130</v>
      </c>
    </row>
    <row r="354" spans="1:16" x14ac:dyDescent="0.3">
      <c r="A354" t="s">
        <v>2131</v>
      </c>
      <c r="C354" t="s">
        <v>1346</v>
      </c>
      <c r="D354" t="s">
        <v>404</v>
      </c>
      <c r="E354" t="s">
        <v>19</v>
      </c>
      <c r="F354" t="s">
        <v>953</v>
      </c>
      <c r="G354" t="s">
        <v>20</v>
      </c>
      <c r="H354">
        <v>17207</v>
      </c>
      <c r="I354">
        <v>0</v>
      </c>
      <c r="J354">
        <v>0</v>
      </c>
      <c r="O354" t="s">
        <v>21</v>
      </c>
      <c r="P354" t="s">
        <v>2132</v>
      </c>
    </row>
    <row r="355" spans="1:16" x14ac:dyDescent="0.3">
      <c r="A355" t="s">
        <v>2133</v>
      </c>
      <c r="C355" t="s">
        <v>1346</v>
      </c>
      <c r="D355" t="s">
        <v>29</v>
      </c>
      <c r="E355" t="s">
        <v>409</v>
      </c>
      <c r="G355" t="s">
        <v>20</v>
      </c>
      <c r="H355">
        <v>10200</v>
      </c>
      <c r="I355">
        <v>54.825000000000003</v>
      </c>
      <c r="J355">
        <v>10145.174999999999</v>
      </c>
      <c r="O355" t="s">
        <v>21</v>
      </c>
      <c r="P355" t="s">
        <v>2134</v>
      </c>
    </row>
    <row r="356" spans="1:16" x14ac:dyDescent="0.3">
      <c r="A356" t="s">
        <v>2135</v>
      </c>
      <c r="C356" t="s">
        <v>1346</v>
      </c>
      <c r="D356" t="s">
        <v>29</v>
      </c>
      <c r="E356" t="s">
        <v>409</v>
      </c>
      <c r="G356" t="s">
        <v>20</v>
      </c>
      <c r="H356">
        <v>3000</v>
      </c>
      <c r="I356" s="1" t="s">
        <v>1393</v>
      </c>
      <c r="J356">
        <v>2983.875</v>
      </c>
      <c r="O356" t="s">
        <v>21</v>
      </c>
      <c r="P356" t="s">
        <v>2136</v>
      </c>
    </row>
    <row r="357" spans="1:16" x14ac:dyDescent="0.3">
      <c r="A357" t="s">
        <v>2137</v>
      </c>
      <c r="C357" t="s">
        <v>1346</v>
      </c>
      <c r="D357" t="s">
        <v>29</v>
      </c>
      <c r="E357" t="s">
        <v>409</v>
      </c>
      <c r="G357" t="s">
        <v>20</v>
      </c>
      <c r="H357">
        <v>4100</v>
      </c>
      <c r="I357">
        <v>22.037500000000001</v>
      </c>
      <c r="J357">
        <v>4077.9625000000001</v>
      </c>
      <c r="O357" t="s">
        <v>21</v>
      </c>
      <c r="P357" t="s">
        <v>2138</v>
      </c>
    </row>
    <row r="358" spans="1:16" x14ac:dyDescent="0.3">
      <c r="A358" t="s">
        <v>2139</v>
      </c>
      <c r="C358" t="s">
        <v>1346</v>
      </c>
      <c r="D358" t="s">
        <v>404</v>
      </c>
      <c r="E358" t="s">
        <v>19</v>
      </c>
      <c r="F358" t="s">
        <v>968</v>
      </c>
      <c r="G358" t="s">
        <v>20</v>
      </c>
      <c r="H358">
        <v>5967</v>
      </c>
      <c r="I358">
        <v>0</v>
      </c>
      <c r="J358">
        <v>0</v>
      </c>
      <c r="O358" t="s">
        <v>21</v>
      </c>
      <c r="P358" t="s">
        <v>2140</v>
      </c>
    </row>
    <row r="359" spans="1:16" x14ac:dyDescent="0.3">
      <c r="A359" t="s">
        <v>2141</v>
      </c>
      <c r="B359" s="1" t="s">
        <v>2142</v>
      </c>
      <c r="C359" t="s">
        <v>1346</v>
      </c>
      <c r="D359" t="s">
        <v>1203</v>
      </c>
      <c r="E359" t="s">
        <v>19</v>
      </c>
      <c r="G359" t="s">
        <v>20</v>
      </c>
      <c r="H359">
        <v>50000</v>
      </c>
      <c r="I359">
        <v>25</v>
      </c>
      <c r="J359">
        <v>0</v>
      </c>
      <c r="O359" t="s">
        <v>21</v>
      </c>
      <c r="P359" t="s">
        <v>2143</v>
      </c>
    </row>
    <row r="360" spans="1:16" x14ac:dyDescent="0.3">
      <c r="A360" t="e">
        <f>-sfawP5TZY0PPWXI9VdaB</f>
        <v>#NAME?</v>
      </c>
      <c r="C360" t="s">
        <v>1346</v>
      </c>
      <c r="D360" t="s">
        <v>29</v>
      </c>
      <c r="E360" t="s">
        <v>409</v>
      </c>
      <c r="G360" t="s">
        <v>20</v>
      </c>
      <c r="H360">
        <v>6000</v>
      </c>
      <c r="I360" s="1" t="s">
        <v>1705</v>
      </c>
      <c r="J360">
        <v>5967.75</v>
      </c>
      <c r="O360" t="s">
        <v>21</v>
      </c>
      <c r="P360" t="s">
        <v>2144</v>
      </c>
    </row>
    <row r="361" spans="1:16" x14ac:dyDescent="0.3">
      <c r="A361" t="s">
        <v>2145</v>
      </c>
      <c r="C361" t="s">
        <v>1346</v>
      </c>
      <c r="D361" t="s">
        <v>404</v>
      </c>
      <c r="E361" t="s">
        <v>19</v>
      </c>
      <c r="F361" t="s">
        <v>981</v>
      </c>
      <c r="G361" t="s">
        <v>20</v>
      </c>
      <c r="H361">
        <v>49733</v>
      </c>
      <c r="I361">
        <v>0</v>
      </c>
      <c r="J361">
        <v>0</v>
      </c>
      <c r="O361" t="s">
        <v>21</v>
      </c>
      <c r="P361" t="s">
        <v>2146</v>
      </c>
    </row>
    <row r="362" spans="1:16" x14ac:dyDescent="0.3">
      <c r="A362" t="s">
        <v>2147</v>
      </c>
      <c r="C362" t="s">
        <v>1346</v>
      </c>
      <c r="D362" t="s">
        <v>29</v>
      </c>
      <c r="E362" t="s">
        <v>409</v>
      </c>
      <c r="G362" t="s">
        <v>20</v>
      </c>
      <c r="H362">
        <v>2300</v>
      </c>
      <c r="I362">
        <v>12.362500000000001</v>
      </c>
      <c r="J362">
        <v>2287.6374999999998</v>
      </c>
      <c r="O362" t="s">
        <v>21</v>
      </c>
      <c r="P362" t="s">
        <v>2148</v>
      </c>
    </row>
    <row r="363" spans="1:16" x14ac:dyDescent="0.3">
      <c r="A363" t="s">
        <v>2149</v>
      </c>
      <c r="C363" t="s">
        <v>1346</v>
      </c>
      <c r="D363" t="s">
        <v>29</v>
      </c>
      <c r="E363" t="s">
        <v>409</v>
      </c>
      <c r="G363" t="s">
        <v>20</v>
      </c>
      <c r="H363">
        <v>1000</v>
      </c>
      <c r="I363">
        <v>5.375</v>
      </c>
      <c r="J363">
        <v>994.625</v>
      </c>
      <c r="O363" t="s">
        <v>21</v>
      </c>
      <c r="P363" t="s">
        <v>2150</v>
      </c>
    </row>
    <row r="364" spans="1:16" x14ac:dyDescent="0.3">
      <c r="A364" t="s">
        <v>2151</v>
      </c>
      <c r="B364" s="1" t="s">
        <v>2152</v>
      </c>
      <c r="C364" t="s">
        <v>1346</v>
      </c>
      <c r="D364" t="s">
        <v>1203</v>
      </c>
      <c r="E364" t="s">
        <v>19</v>
      </c>
      <c r="G364" t="s">
        <v>20</v>
      </c>
      <c r="H364">
        <v>9000</v>
      </c>
      <c r="I364">
        <v>25</v>
      </c>
      <c r="J364">
        <v>0</v>
      </c>
      <c r="O364" t="s">
        <v>21</v>
      </c>
      <c r="P364" t="s">
        <v>2153</v>
      </c>
    </row>
    <row r="365" spans="1:16" x14ac:dyDescent="0.3">
      <c r="A365" t="s">
        <v>2154</v>
      </c>
      <c r="C365" t="s">
        <v>1346</v>
      </c>
      <c r="D365" t="s">
        <v>29</v>
      </c>
      <c r="E365" t="s">
        <v>409</v>
      </c>
      <c r="G365" t="s">
        <v>20</v>
      </c>
      <c r="H365">
        <v>20000</v>
      </c>
      <c r="I365" s="1" t="s">
        <v>2155</v>
      </c>
      <c r="J365">
        <v>19892.5</v>
      </c>
      <c r="O365" t="s">
        <v>21</v>
      </c>
      <c r="P365" t="s">
        <v>2156</v>
      </c>
    </row>
    <row r="366" spans="1:16" x14ac:dyDescent="0.3">
      <c r="A366" t="s">
        <v>2157</v>
      </c>
      <c r="C366" t="s">
        <v>1346</v>
      </c>
      <c r="D366" t="s">
        <v>29</v>
      </c>
      <c r="E366" t="s">
        <v>409</v>
      </c>
      <c r="G366" t="s">
        <v>20</v>
      </c>
      <c r="H366">
        <v>20500</v>
      </c>
      <c r="I366">
        <v>107.5</v>
      </c>
      <c r="J366">
        <v>20392.5</v>
      </c>
      <c r="O366" t="s">
        <v>21</v>
      </c>
      <c r="P366" t="s">
        <v>2158</v>
      </c>
    </row>
    <row r="367" spans="1:16" x14ac:dyDescent="0.3">
      <c r="A367" t="s">
        <v>2159</v>
      </c>
      <c r="C367" t="s">
        <v>1346</v>
      </c>
      <c r="D367" t="s">
        <v>29</v>
      </c>
      <c r="E367" t="s">
        <v>409</v>
      </c>
      <c r="G367" t="s">
        <v>20</v>
      </c>
      <c r="H367">
        <v>1100</v>
      </c>
      <c r="I367">
        <v>5.9124999999999996</v>
      </c>
      <c r="J367">
        <v>1094.0875000000001</v>
      </c>
      <c r="O367" t="s">
        <v>21</v>
      </c>
      <c r="P367" t="s">
        <v>2160</v>
      </c>
    </row>
    <row r="368" spans="1:16" x14ac:dyDescent="0.3">
      <c r="A368" t="s">
        <v>2161</v>
      </c>
      <c r="C368" t="s">
        <v>1346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2162</v>
      </c>
    </row>
    <row r="369" spans="1:16" x14ac:dyDescent="0.3">
      <c r="A369" t="s">
        <v>2163</v>
      </c>
      <c r="C369" t="s">
        <v>1346</v>
      </c>
      <c r="D369" t="s">
        <v>404</v>
      </c>
      <c r="E369" t="s">
        <v>19</v>
      </c>
      <c r="F369" t="s">
        <v>2164</v>
      </c>
      <c r="G369" t="s">
        <v>20</v>
      </c>
      <c r="H369">
        <v>9051</v>
      </c>
      <c r="I369">
        <v>0</v>
      </c>
      <c r="J369">
        <v>0</v>
      </c>
      <c r="O369" t="s">
        <v>21</v>
      </c>
      <c r="P369" t="s">
        <v>2165</v>
      </c>
    </row>
    <row r="370" spans="1:16" x14ac:dyDescent="0.3">
      <c r="A370" t="s">
        <v>2166</v>
      </c>
      <c r="C370" t="s">
        <v>1346</v>
      </c>
      <c r="D370" t="s">
        <v>29</v>
      </c>
      <c r="E370" t="s">
        <v>409</v>
      </c>
      <c r="G370" t="s">
        <v>20</v>
      </c>
      <c r="H370">
        <v>2100</v>
      </c>
      <c r="I370">
        <v>11.2875</v>
      </c>
      <c r="J370">
        <v>2088.7125000000001</v>
      </c>
      <c r="O370" t="s">
        <v>21</v>
      </c>
      <c r="P370" t="s">
        <v>2167</v>
      </c>
    </row>
    <row r="371" spans="1:16" x14ac:dyDescent="0.3">
      <c r="A371" t="s">
        <v>2168</v>
      </c>
      <c r="C371" t="s">
        <v>1346</v>
      </c>
      <c r="D371" t="s">
        <v>18</v>
      </c>
      <c r="E371" t="s">
        <v>19</v>
      </c>
      <c r="G371" t="s">
        <v>20</v>
      </c>
      <c r="H371">
        <v>9021.5</v>
      </c>
      <c r="I371">
        <v>0</v>
      </c>
      <c r="J371">
        <v>9021.5</v>
      </c>
      <c r="O371" t="s">
        <v>21</v>
      </c>
      <c r="P371" t="s">
        <v>2169</v>
      </c>
    </row>
    <row r="372" spans="1:16" x14ac:dyDescent="0.3">
      <c r="A372" t="e">
        <f>-QKwwoSZTMwLQjxxajrrO</f>
        <v>#NAME?</v>
      </c>
      <c r="C372" t="s">
        <v>1346</v>
      </c>
      <c r="D372" t="s">
        <v>29</v>
      </c>
      <c r="E372" t="s">
        <v>409</v>
      </c>
      <c r="G372" t="s">
        <v>20</v>
      </c>
      <c r="H372">
        <v>7000</v>
      </c>
      <c r="I372">
        <v>37.625</v>
      </c>
      <c r="J372">
        <v>6962.375</v>
      </c>
      <c r="O372" t="s">
        <v>21</v>
      </c>
      <c r="P372" t="s">
        <v>2170</v>
      </c>
    </row>
    <row r="373" spans="1:16" x14ac:dyDescent="0.3">
      <c r="A373" t="s">
        <v>2171</v>
      </c>
      <c r="C373" t="s">
        <v>1346</v>
      </c>
      <c r="D373" t="s">
        <v>18</v>
      </c>
      <c r="E373" t="s">
        <v>19</v>
      </c>
      <c r="G373" t="s">
        <v>20</v>
      </c>
      <c r="H373">
        <v>9000</v>
      </c>
      <c r="I373">
        <v>0</v>
      </c>
      <c r="J373">
        <v>9000</v>
      </c>
      <c r="O373" t="s">
        <v>21</v>
      </c>
      <c r="P373" t="s">
        <v>2172</v>
      </c>
    </row>
    <row r="374" spans="1:16" x14ac:dyDescent="0.3">
      <c r="A374" t="s">
        <v>2173</v>
      </c>
      <c r="C374" t="s">
        <v>1346</v>
      </c>
      <c r="D374" t="s">
        <v>18</v>
      </c>
      <c r="E374" t="s">
        <v>19</v>
      </c>
      <c r="G374" t="s">
        <v>20</v>
      </c>
      <c r="H374">
        <v>9000</v>
      </c>
      <c r="I374">
        <v>0</v>
      </c>
      <c r="J374">
        <v>9000</v>
      </c>
      <c r="O374" t="s">
        <v>21</v>
      </c>
      <c r="P374" t="s">
        <v>2174</v>
      </c>
    </row>
    <row r="375" spans="1:16" x14ac:dyDescent="0.3">
      <c r="A375" t="s">
        <v>2175</v>
      </c>
      <c r="C375" t="s">
        <v>1346</v>
      </c>
      <c r="D375" t="s">
        <v>18</v>
      </c>
      <c r="E375" t="s">
        <v>19</v>
      </c>
      <c r="G375" t="s">
        <v>20</v>
      </c>
      <c r="H375">
        <v>26021.5</v>
      </c>
      <c r="I375">
        <v>0</v>
      </c>
      <c r="J375">
        <v>26021.5</v>
      </c>
      <c r="O375" t="s">
        <v>21</v>
      </c>
      <c r="P375" t="s">
        <v>2176</v>
      </c>
    </row>
    <row r="376" spans="1:16" x14ac:dyDescent="0.3">
      <c r="A376" t="s">
        <v>2177</v>
      </c>
      <c r="C376" t="s">
        <v>1346</v>
      </c>
      <c r="D376" t="s">
        <v>18</v>
      </c>
      <c r="E376" t="s">
        <v>19</v>
      </c>
      <c r="G376" t="s">
        <v>20</v>
      </c>
      <c r="H376">
        <v>26000</v>
      </c>
      <c r="I376">
        <v>0</v>
      </c>
      <c r="J376">
        <v>26000</v>
      </c>
      <c r="O376" t="s">
        <v>21</v>
      </c>
      <c r="P376" t="s">
        <v>2178</v>
      </c>
    </row>
    <row r="377" spans="1:16" x14ac:dyDescent="0.3">
      <c r="A377" t="s">
        <v>2179</v>
      </c>
      <c r="C377" t="s">
        <v>1346</v>
      </c>
      <c r="D377" t="s">
        <v>18</v>
      </c>
      <c r="E377" t="s">
        <v>19</v>
      </c>
      <c r="G377" t="s">
        <v>20</v>
      </c>
      <c r="H377">
        <v>26000</v>
      </c>
      <c r="I377">
        <v>0</v>
      </c>
      <c r="J377">
        <v>26000</v>
      </c>
      <c r="O377" t="s">
        <v>21</v>
      </c>
      <c r="P377" t="s">
        <v>2180</v>
      </c>
    </row>
    <row r="378" spans="1:16" x14ac:dyDescent="0.3">
      <c r="A378" t="s">
        <v>2181</v>
      </c>
      <c r="C378" t="s">
        <v>1346</v>
      </c>
      <c r="D378" t="s">
        <v>404</v>
      </c>
      <c r="E378" t="s">
        <v>19</v>
      </c>
      <c r="F378" t="s">
        <v>992</v>
      </c>
      <c r="G378" t="s">
        <v>20</v>
      </c>
      <c r="H378">
        <v>9051</v>
      </c>
      <c r="I378">
        <v>0</v>
      </c>
      <c r="J378">
        <v>0</v>
      </c>
      <c r="O378" t="s">
        <v>21</v>
      </c>
      <c r="P378" t="s">
        <v>2182</v>
      </c>
    </row>
    <row r="379" spans="1:16" x14ac:dyDescent="0.3">
      <c r="A379" t="s">
        <v>2183</v>
      </c>
      <c r="C379" t="s">
        <v>1346</v>
      </c>
      <c r="D379" t="s">
        <v>29</v>
      </c>
      <c r="E379" t="s">
        <v>409</v>
      </c>
      <c r="G379" t="s">
        <v>20</v>
      </c>
      <c r="H379">
        <v>4100</v>
      </c>
      <c r="I379">
        <v>22.037500000000001</v>
      </c>
      <c r="J379">
        <v>4077.9625000000001</v>
      </c>
      <c r="O379" t="s">
        <v>21</v>
      </c>
      <c r="P379" t="s">
        <v>2184</v>
      </c>
    </row>
    <row r="380" spans="1:16" x14ac:dyDescent="0.3">
      <c r="A380" t="s">
        <v>2185</v>
      </c>
      <c r="C380" t="s">
        <v>1346</v>
      </c>
      <c r="D380" t="s">
        <v>29</v>
      </c>
      <c r="E380" t="s">
        <v>409</v>
      </c>
      <c r="G380" t="s">
        <v>20</v>
      </c>
      <c r="H380">
        <v>5000</v>
      </c>
      <c r="I380" s="1" t="s">
        <v>1275</v>
      </c>
      <c r="J380">
        <v>4973.125</v>
      </c>
      <c r="O380" t="s">
        <v>21</v>
      </c>
      <c r="P380" t="s">
        <v>2186</v>
      </c>
    </row>
    <row r="381" spans="1:16" x14ac:dyDescent="0.3">
      <c r="A381" t="s">
        <v>2187</v>
      </c>
      <c r="C381" t="s">
        <v>1346</v>
      </c>
      <c r="D381" t="s">
        <v>408</v>
      </c>
      <c r="E381" t="s">
        <v>409</v>
      </c>
      <c r="G381" t="s">
        <v>20</v>
      </c>
      <c r="H381">
        <v>2100</v>
      </c>
      <c r="I381">
        <v>11.2875</v>
      </c>
      <c r="J381">
        <v>2088.7125000000001</v>
      </c>
      <c r="O381" t="s">
        <v>412</v>
      </c>
      <c r="P381" t="s">
        <v>2188</v>
      </c>
    </row>
    <row r="382" spans="1:16" x14ac:dyDescent="0.3">
      <c r="A382" t="s">
        <v>2189</v>
      </c>
      <c r="B382" t="s">
        <v>2189</v>
      </c>
      <c r="C382" t="s">
        <v>1346</v>
      </c>
      <c r="D382" t="s">
        <v>1203</v>
      </c>
      <c r="E382" t="s">
        <v>19</v>
      </c>
      <c r="G382" t="s">
        <v>20</v>
      </c>
      <c r="H382">
        <v>26000</v>
      </c>
      <c r="I382">
        <v>25</v>
      </c>
      <c r="J382">
        <v>0</v>
      </c>
      <c r="O382" t="s">
        <v>412</v>
      </c>
      <c r="P382" t="s">
        <v>2190</v>
      </c>
    </row>
    <row r="383" spans="1:16" x14ac:dyDescent="0.3">
      <c r="A383" t="s">
        <v>2191</v>
      </c>
      <c r="C383" t="s">
        <v>1346</v>
      </c>
      <c r="D383" t="s">
        <v>404</v>
      </c>
      <c r="E383" t="s">
        <v>19</v>
      </c>
      <c r="F383" t="s">
        <v>2192</v>
      </c>
      <c r="G383" t="s">
        <v>20</v>
      </c>
      <c r="H383">
        <v>5172</v>
      </c>
      <c r="I383">
        <v>0</v>
      </c>
      <c r="J383">
        <v>0</v>
      </c>
      <c r="O383" t="s">
        <v>21</v>
      </c>
      <c r="P383" t="s">
        <v>2193</v>
      </c>
    </row>
    <row r="384" spans="1:16" x14ac:dyDescent="0.3">
      <c r="A384" t="s">
        <v>2194</v>
      </c>
      <c r="C384" t="s">
        <v>1346</v>
      </c>
      <c r="D384" t="s">
        <v>29</v>
      </c>
      <c r="E384" t="s">
        <v>409</v>
      </c>
      <c r="G384" t="s">
        <v>20</v>
      </c>
      <c r="H384">
        <v>5200</v>
      </c>
      <c r="I384">
        <v>27.95</v>
      </c>
      <c r="J384">
        <v>5172.05</v>
      </c>
      <c r="O384" t="s">
        <v>21</v>
      </c>
      <c r="P384" t="s">
        <v>2195</v>
      </c>
    </row>
    <row r="385" spans="1:16" x14ac:dyDescent="0.3">
      <c r="A385" t="s">
        <v>2196</v>
      </c>
      <c r="C385" t="s">
        <v>1346</v>
      </c>
      <c r="D385" t="s">
        <v>404</v>
      </c>
      <c r="E385" t="s">
        <v>19</v>
      </c>
      <c r="F385" t="s">
        <v>2197</v>
      </c>
      <c r="G385" t="s">
        <v>20</v>
      </c>
      <c r="H385">
        <v>12034</v>
      </c>
      <c r="I385">
        <v>0</v>
      </c>
      <c r="J385">
        <v>0</v>
      </c>
      <c r="O385" t="s">
        <v>21</v>
      </c>
      <c r="P385" t="s">
        <v>2198</v>
      </c>
    </row>
    <row r="386" spans="1:16" x14ac:dyDescent="0.3">
      <c r="A386" t="s">
        <v>2199</v>
      </c>
      <c r="C386" t="s">
        <v>1346</v>
      </c>
      <c r="D386" t="s">
        <v>29</v>
      </c>
      <c r="E386" t="s">
        <v>409</v>
      </c>
      <c r="G386" t="s">
        <v>20</v>
      </c>
      <c r="H386">
        <v>3000</v>
      </c>
      <c r="I386" s="1" t="s">
        <v>1393</v>
      </c>
      <c r="J386">
        <v>2983.875</v>
      </c>
      <c r="O386" t="s">
        <v>21</v>
      </c>
      <c r="P386" t="s">
        <v>2200</v>
      </c>
    </row>
    <row r="387" spans="1:16" x14ac:dyDescent="0.3">
      <c r="A387" t="s">
        <v>2201</v>
      </c>
      <c r="C387" t="s">
        <v>1346</v>
      </c>
      <c r="D387" t="s">
        <v>29</v>
      </c>
      <c r="E387" t="s">
        <v>409</v>
      </c>
      <c r="G387" t="s">
        <v>20</v>
      </c>
      <c r="H387">
        <v>4100</v>
      </c>
      <c r="I387">
        <v>22.037500000000001</v>
      </c>
      <c r="J387">
        <v>4077.9625000000001</v>
      </c>
      <c r="O387" t="s">
        <v>21</v>
      </c>
      <c r="P387" t="s">
        <v>2202</v>
      </c>
    </row>
    <row r="388" spans="1:16" x14ac:dyDescent="0.3">
      <c r="A388" t="s">
        <v>2203</v>
      </c>
      <c r="C388" t="s">
        <v>1346</v>
      </c>
      <c r="D388" t="s">
        <v>29</v>
      </c>
      <c r="E388" t="s">
        <v>409</v>
      </c>
      <c r="G388" t="s">
        <v>20</v>
      </c>
      <c r="H388">
        <v>5000</v>
      </c>
      <c r="I388" s="1" t="s">
        <v>1275</v>
      </c>
      <c r="J388">
        <v>4973.125</v>
      </c>
      <c r="O388" t="s">
        <v>21</v>
      </c>
      <c r="P388" t="s">
        <v>2204</v>
      </c>
    </row>
    <row r="389" spans="1:16" x14ac:dyDescent="0.3">
      <c r="A389" t="s">
        <v>2205</v>
      </c>
      <c r="C389" t="s">
        <v>1346</v>
      </c>
      <c r="D389" t="s">
        <v>404</v>
      </c>
      <c r="E389" t="s">
        <v>19</v>
      </c>
      <c r="F389" t="s">
        <v>2206</v>
      </c>
      <c r="G389" t="s">
        <v>20</v>
      </c>
      <c r="H389">
        <v>9349</v>
      </c>
      <c r="I389">
        <v>0</v>
      </c>
      <c r="J389">
        <v>0</v>
      </c>
      <c r="O389" t="s">
        <v>21</v>
      </c>
      <c r="P389" t="s">
        <v>2207</v>
      </c>
    </row>
    <row r="390" spans="1:16" x14ac:dyDescent="0.3">
      <c r="A390" t="e">
        <f>-f_w6upQaKP9R3_EGPXb0</f>
        <v>#NAME?</v>
      </c>
      <c r="C390" t="s">
        <v>1346</v>
      </c>
      <c r="D390" t="s">
        <v>29</v>
      </c>
      <c r="E390" t="s">
        <v>409</v>
      </c>
      <c r="G390" t="s">
        <v>20</v>
      </c>
      <c r="H390">
        <v>3100</v>
      </c>
      <c r="I390">
        <v>16.662500000000001</v>
      </c>
      <c r="J390">
        <v>3083.3375000000001</v>
      </c>
      <c r="O390" t="s">
        <v>21</v>
      </c>
      <c r="P390" t="s">
        <v>2208</v>
      </c>
    </row>
    <row r="391" spans="1:16" x14ac:dyDescent="0.3">
      <c r="A391" t="s">
        <v>2209</v>
      </c>
      <c r="B391" s="1" t="s">
        <v>2210</v>
      </c>
      <c r="C391" t="s">
        <v>1346</v>
      </c>
      <c r="D391" t="s">
        <v>1203</v>
      </c>
      <c r="E391" t="s">
        <v>19</v>
      </c>
      <c r="G391" t="s">
        <v>20</v>
      </c>
      <c r="H391">
        <v>32000</v>
      </c>
      <c r="I391">
        <v>25</v>
      </c>
      <c r="J391">
        <v>0</v>
      </c>
      <c r="O391" t="s">
        <v>21</v>
      </c>
      <c r="P391" t="s">
        <v>2211</v>
      </c>
    </row>
    <row r="392" spans="1:16" x14ac:dyDescent="0.3">
      <c r="A392" t="s">
        <v>2212</v>
      </c>
      <c r="C392" t="s">
        <v>1346</v>
      </c>
      <c r="D392" t="s">
        <v>29</v>
      </c>
      <c r="E392" t="s">
        <v>409</v>
      </c>
      <c r="G392" t="s">
        <v>20</v>
      </c>
      <c r="H392">
        <v>6300</v>
      </c>
      <c r="I392">
        <v>33.862499999999997</v>
      </c>
      <c r="J392">
        <v>6266.1374999999998</v>
      </c>
      <c r="O392" t="s">
        <v>21</v>
      </c>
      <c r="P392" t="s">
        <v>2213</v>
      </c>
    </row>
    <row r="393" spans="1:16" x14ac:dyDescent="0.3">
      <c r="A393" t="s">
        <v>2214</v>
      </c>
      <c r="C393" t="s">
        <v>1346</v>
      </c>
      <c r="D393" t="s">
        <v>404</v>
      </c>
      <c r="E393" t="s">
        <v>19</v>
      </c>
      <c r="F393" t="s">
        <v>2215</v>
      </c>
      <c r="G393" t="s">
        <v>20</v>
      </c>
      <c r="H393">
        <v>994</v>
      </c>
      <c r="I393">
        <v>0</v>
      </c>
      <c r="J393">
        <v>0</v>
      </c>
      <c r="O393" t="s">
        <v>21</v>
      </c>
      <c r="P393" t="s">
        <v>2216</v>
      </c>
    </row>
    <row r="394" spans="1:16" x14ac:dyDescent="0.3">
      <c r="A394" t="s">
        <v>2217</v>
      </c>
      <c r="C394" t="s">
        <v>1346</v>
      </c>
      <c r="D394" t="s">
        <v>29</v>
      </c>
      <c r="E394" t="s">
        <v>409</v>
      </c>
      <c r="G394" t="s">
        <v>20</v>
      </c>
      <c r="H394">
        <v>1000</v>
      </c>
      <c r="I394">
        <v>5.375</v>
      </c>
      <c r="J394">
        <v>994.625</v>
      </c>
      <c r="O394" t="s">
        <v>21</v>
      </c>
      <c r="P394" t="s">
        <v>2218</v>
      </c>
    </row>
    <row r="395" spans="1:16" x14ac:dyDescent="0.3">
      <c r="A395" t="s">
        <v>2219</v>
      </c>
      <c r="C395" t="s">
        <v>1346</v>
      </c>
      <c r="D395" t="s">
        <v>404</v>
      </c>
      <c r="E395" t="s">
        <v>19</v>
      </c>
      <c r="F395" t="s">
        <v>1003</v>
      </c>
      <c r="G395" t="s">
        <v>20</v>
      </c>
      <c r="H395">
        <v>10145</v>
      </c>
      <c r="I395">
        <v>0</v>
      </c>
      <c r="J395">
        <v>0</v>
      </c>
      <c r="O395" t="s">
        <v>21</v>
      </c>
      <c r="P395" t="s">
        <v>2220</v>
      </c>
    </row>
    <row r="396" spans="1:16" x14ac:dyDescent="0.3">
      <c r="A396" t="s">
        <v>2221</v>
      </c>
      <c r="C396" t="s">
        <v>1346</v>
      </c>
      <c r="D396" t="s">
        <v>29</v>
      </c>
      <c r="E396" t="s">
        <v>409</v>
      </c>
      <c r="G396" t="s">
        <v>20</v>
      </c>
      <c r="H396">
        <v>10200</v>
      </c>
      <c r="I396">
        <v>54.825000000000003</v>
      </c>
      <c r="J396">
        <v>10145.174999999999</v>
      </c>
      <c r="O396" t="s">
        <v>21</v>
      </c>
      <c r="P396" t="s">
        <v>2222</v>
      </c>
    </row>
    <row r="397" spans="1:16" x14ac:dyDescent="0.3">
      <c r="A397" t="s">
        <v>2223</v>
      </c>
      <c r="C397" t="s">
        <v>1346</v>
      </c>
      <c r="D397" t="s">
        <v>404</v>
      </c>
      <c r="E397" t="s">
        <v>19</v>
      </c>
      <c r="F397" t="s">
        <v>1014</v>
      </c>
      <c r="G397" t="s">
        <v>20</v>
      </c>
      <c r="H397">
        <v>12233</v>
      </c>
      <c r="I397">
        <v>0</v>
      </c>
      <c r="J397">
        <v>0</v>
      </c>
      <c r="O397" t="s">
        <v>21</v>
      </c>
      <c r="P397" t="s">
        <v>2224</v>
      </c>
    </row>
    <row r="398" spans="1:16" x14ac:dyDescent="0.3">
      <c r="A398" t="s">
        <v>2225</v>
      </c>
      <c r="C398" t="s">
        <v>1346</v>
      </c>
      <c r="D398" t="s">
        <v>29</v>
      </c>
      <c r="E398" t="s">
        <v>409</v>
      </c>
      <c r="G398" t="s">
        <v>20</v>
      </c>
      <c r="H398">
        <v>2100</v>
      </c>
      <c r="I398">
        <v>11.2875</v>
      </c>
      <c r="J398">
        <v>2088.7125000000001</v>
      </c>
      <c r="O398" t="s">
        <v>21</v>
      </c>
      <c r="P398" t="s">
        <v>2226</v>
      </c>
    </row>
    <row r="399" spans="1:16" x14ac:dyDescent="0.3">
      <c r="A399" t="s">
        <v>2227</v>
      </c>
      <c r="C399" t="s">
        <v>1346</v>
      </c>
      <c r="D399" t="s">
        <v>29</v>
      </c>
      <c r="E399" t="s">
        <v>409</v>
      </c>
      <c r="G399" t="s">
        <v>20</v>
      </c>
      <c r="H399">
        <v>3100</v>
      </c>
      <c r="I399">
        <v>16.662500000000001</v>
      </c>
      <c r="J399">
        <v>3083.3375000000001</v>
      </c>
      <c r="O399" t="s">
        <v>21</v>
      </c>
      <c r="P399" t="s">
        <v>2228</v>
      </c>
    </row>
    <row r="400" spans="1:16" x14ac:dyDescent="0.3">
      <c r="A400" t="s">
        <v>2229</v>
      </c>
      <c r="C400" t="s">
        <v>1346</v>
      </c>
      <c r="D400" t="s">
        <v>29</v>
      </c>
      <c r="E400" t="s">
        <v>409</v>
      </c>
      <c r="G400" t="s">
        <v>20</v>
      </c>
      <c r="H400">
        <v>2000</v>
      </c>
      <c r="I400">
        <v>10.75</v>
      </c>
      <c r="J400">
        <v>1989.25</v>
      </c>
      <c r="O400" t="s">
        <v>21</v>
      </c>
      <c r="P400" t="s">
        <v>2230</v>
      </c>
    </row>
    <row r="401" spans="1:16" x14ac:dyDescent="0.3">
      <c r="A401" t="s">
        <v>2231</v>
      </c>
      <c r="C401" t="s">
        <v>1346</v>
      </c>
      <c r="D401" t="s">
        <v>408</v>
      </c>
      <c r="E401" t="s">
        <v>409</v>
      </c>
      <c r="G401" t="s">
        <v>20</v>
      </c>
      <c r="H401">
        <v>43400</v>
      </c>
      <c r="I401">
        <v>107.5</v>
      </c>
      <c r="J401">
        <v>43292.5</v>
      </c>
      <c r="O401" t="s">
        <v>412</v>
      </c>
      <c r="P401" t="s">
        <v>2232</v>
      </c>
    </row>
    <row r="402" spans="1:16" x14ac:dyDescent="0.3">
      <c r="A402" t="s">
        <v>2233</v>
      </c>
      <c r="C402" t="s">
        <v>1346</v>
      </c>
      <c r="D402" t="s">
        <v>29</v>
      </c>
      <c r="E402" t="s">
        <v>409</v>
      </c>
      <c r="G402" t="s">
        <v>20</v>
      </c>
      <c r="H402">
        <v>5100</v>
      </c>
      <c r="I402">
        <v>27.412500000000001</v>
      </c>
      <c r="J402">
        <v>5072.5874999999996</v>
      </c>
      <c r="O402" t="s">
        <v>21</v>
      </c>
      <c r="P402" t="s">
        <v>2234</v>
      </c>
    </row>
    <row r="403" spans="1:16" x14ac:dyDescent="0.3">
      <c r="A403" t="s">
        <v>2235</v>
      </c>
      <c r="C403" t="s">
        <v>1346</v>
      </c>
      <c r="D403" t="s">
        <v>408</v>
      </c>
      <c r="E403" t="s">
        <v>409</v>
      </c>
      <c r="G403" t="s">
        <v>20</v>
      </c>
      <c r="H403">
        <v>10700</v>
      </c>
      <c r="I403">
        <v>57.512500000000003</v>
      </c>
      <c r="J403">
        <v>10642.487499999999</v>
      </c>
      <c r="O403" t="s">
        <v>412</v>
      </c>
      <c r="P403" t="s">
        <v>2236</v>
      </c>
    </row>
    <row r="404" spans="1:16" x14ac:dyDescent="0.3">
      <c r="A404" t="s">
        <v>2237</v>
      </c>
      <c r="C404" t="s">
        <v>1346</v>
      </c>
      <c r="D404" t="s">
        <v>408</v>
      </c>
      <c r="E404" t="s">
        <v>409</v>
      </c>
      <c r="G404" t="s">
        <v>20</v>
      </c>
      <c r="H404">
        <v>10700</v>
      </c>
      <c r="I404">
        <v>57.512500000000003</v>
      </c>
      <c r="J404">
        <v>10642.487499999999</v>
      </c>
      <c r="O404" t="s">
        <v>412</v>
      </c>
      <c r="P404" t="s">
        <v>2238</v>
      </c>
    </row>
    <row r="405" spans="1:16" x14ac:dyDescent="0.3">
      <c r="A405" t="s">
        <v>2239</v>
      </c>
      <c r="C405" t="s">
        <v>1346</v>
      </c>
      <c r="D405" t="s">
        <v>404</v>
      </c>
      <c r="E405" t="s">
        <v>19</v>
      </c>
      <c r="F405" t="s">
        <v>1027</v>
      </c>
      <c r="G405" t="s">
        <v>20</v>
      </c>
      <c r="H405">
        <v>2088</v>
      </c>
      <c r="I405">
        <v>0</v>
      </c>
      <c r="J405">
        <v>0</v>
      </c>
      <c r="O405" t="s">
        <v>21</v>
      </c>
      <c r="P405" t="s">
        <v>2240</v>
      </c>
    </row>
    <row r="406" spans="1:16" x14ac:dyDescent="0.3">
      <c r="A406" t="s">
        <v>2241</v>
      </c>
      <c r="C406" t="s">
        <v>1346</v>
      </c>
      <c r="D406" t="s">
        <v>408</v>
      </c>
      <c r="E406" t="s">
        <v>409</v>
      </c>
      <c r="G406" t="s">
        <v>20</v>
      </c>
      <c r="H406">
        <v>2100</v>
      </c>
      <c r="I406">
        <v>11.2875</v>
      </c>
      <c r="J406">
        <v>2088.7125000000001</v>
      </c>
      <c r="O406" t="s">
        <v>21</v>
      </c>
      <c r="P406" t="s">
        <v>2242</v>
      </c>
    </row>
    <row r="407" spans="1:16" x14ac:dyDescent="0.3">
      <c r="A407" t="s">
        <v>2243</v>
      </c>
      <c r="C407" t="s">
        <v>1346</v>
      </c>
      <c r="D407" t="s">
        <v>404</v>
      </c>
      <c r="E407" t="s">
        <v>19</v>
      </c>
      <c r="F407" t="s">
        <v>1038</v>
      </c>
      <c r="G407" t="s">
        <v>20</v>
      </c>
      <c r="H407">
        <v>6067</v>
      </c>
      <c r="I407">
        <v>0</v>
      </c>
      <c r="J407">
        <v>0</v>
      </c>
      <c r="O407" t="s">
        <v>21</v>
      </c>
      <c r="P407" t="s">
        <v>2244</v>
      </c>
    </row>
    <row r="408" spans="1:16" x14ac:dyDescent="0.3">
      <c r="A408" t="s">
        <v>2245</v>
      </c>
      <c r="C408" t="s">
        <v>1346</v>
      </c>
      <c r="D408" t="s">
        <v>408</v>
      </c>
      <c r="E408" t="s">
        <v>409</v>
      </c>
      <c r="G408" t="s">
        <v>20</v>
      </c>
      <c r="H408">
        <v>6100</v>
      </c>
      <c r="I408">
        <v>32.787500000000001</v>
      </c>
      <c r="J408">
        <v>6067.2124999999996</v>
      </c>
      <c r="O408" t="s">
        <v>21</v>
      </c>
      <c r="P408" t="s">
        <v>2246</v>
      </c>
    </row>
    <row r="409" spans="1:16" x14ac:dyDescent="0.3">
      <c r="A409" t="s">
        <v>2247</v>
      </c>
      <c r="B409" s="1" t="s">
        <v>2248</v>
      </c>
      <c r="C409" t="s">
        <v>1346</v>
      </c>
      <c r="D409" t="s">
        <v>1203</v>
      </c>
      <c r="E409" t="s">
        <v>19</v>
      </c>
      <c r="G409" t="s">
        <v>20</v>
      </c>
      <c r="H409">
        <v>9000</v>
      </c>
      <c r="I409">
        <v>25</v>
      </c>
      <c r="J409">
        <v>0</v>
      </c>
      <c r="O409" t="s">
        <v>21</v>
      </c>
      <c r="P409" t="s">
        <v>2249</v>
      </c>
    </row>
    <row r="410" spans="1:16" x14ac:dyDescent="0.3">
      <c r="A410" t="s">
        <v>2250</v>
      </c>
      <c r="C410" t="s">
        <v>1346</v>
      </c>
      <c r="D410" t="s">
        <v>404</v>
      </c>
      <c r="E410" t="s">
        <v>19</v>
      </c>
      <c r="F410" t="s">
        <v>2251</v>
      </c>
      <c r="G410" t="s">
        <v>20</v>
      </c>
      <c r="H410">
        <v>9250</v>
      </c>
      <c r="I410">
        <v>0</v>
      </c>
      <c r="J410">
        <v>0</v>
      </c>
      <c r="O410" t="s">
        <v>21</v>
      </c>
      <c r="P410" t="s">
        <v>2252</v>
      </c>
    </row>
    <row r="411" spans="1:16" x14ac:dyDescent="0.3">
      <c r="A411" t="s">
        <v>2253</v>
      </c>
      <c r="C411" t="s">
        <v>1346</v>
      </c>
      <c r="D411" t="s">
        <v>408</v>
      </c>
      <c r="E411" t="s">
        <v>409</v>
      </c>
      <c r="G411" t="s">
        <v>20</v>
      </c>
      <c r="H411">
        <v>2100</v>
      </c>
      <c r="I411">
        <v>11.2875</v>
      </c>
      <c r="J411">
        <v>2088.7125000000001</v>
      </c>
      <c r="O411" t="s">
        <v>21</v>
      </c>
      <c r="P411" t="s">
        <v>2254</v>
      </c>
    </row>
    <row r="412" spans="1:16" x14ac:dyDescent="0.3">
      <c r="A412" t="s">
        <v>2255</v>
      </c>
      <c r="C412" t="s">
        <v>1346</v>
      </c>
      <c r="D412" t="s">
        <v>408</v>
      </c>
      <c r="E412" t="s">
        <v>409</v>
      </c>
      <c r="G412" t="s">
        <v>20</v>
      </c>
      <c r="H412">
        <v>5100</v>
      </c>
      <c r="I412">
        <v>27.412500000000001</v>
      </c>
      <c r="J412">
        <v>5072.5874999999996</v>
      </c>
      <c r="O412" t="s">
        <v>21</v>
      </c>
      <c r="P412" t="s">
        <v>2256</v>
      </c>
    </row>
    <row r="413" spans="1:16" x14ac:dyDescent="0.3">
      <c r="A413" t="s">
        <v>2257</v>
      </c>
      <c r="C413" t="s">
        <v>1346</v>
      </c>
      <c r="D413" t="s">
        <v>408</v>
      </c>
      <c r="E413" t="s">
        <v>409</v>
      </c>
      <c r="G413" t="s">
        <v>20</v>
      </c>
      <c r="H413">
        <v>2100</v>
      </c>
      <c r="I413">
        <v>11.2875</v>
      </c>
      <c r="J413">
        <v>2088.7125000000001</v>
      </c>
      <c r="O413" t="s">
        <v>21</v>
      </c>
      <c r="P413" t="s">
        <v>2258</v>
      </c>
    </row>
    <row r="414" spans="1:16" x14ac:dyDescent="0.3">
      <c r="A414" t="s">
        <v>2259</v>
      </c>
      <c r="B414" s="1" t="s">
        <v>2260</v>
      </c>
      <c r="C414" t="s">
        <v>1346</v>
      </c>
      <c r="D414" t="s">
        <v>1203</v>
      </c>
      <c r="E414" t="s">
        <v>19</v>
      </c>
      <c r="G414" t="s">
        <v>20</v>
      </c>
      <c r="H414">
        <v>74000</v>
      </c>
      <c r="I414">
        <v>25</v>
      </c>
      <c r="J414">
        <v>0</v>
      </c>
      <c r="O414" t="s">
        <v>21</v>
      </c>
      <c r="P414" t="s">
        <v>2261</v>
      </c>
    </row>
    <row r="415" spans="1:16" x14ac:dyDescent="0.3">
      <c r="A415" t="s">
        <v>2262</v>
      </c>
      <c r="C415" t="s">
        <v>1346</v>
      </c>
      <c r="D415" t="s">
        <v>404</v>
      </c>
      <c r="E415" t="s">
        <v>19</v>
      </c>
      <c r="F415" t="s">
        <v>1057</v>
      </c>
      <c r="G415" t="s">
        <v>20</v>
      </c>
      <c r="H415">
        <v>73664</v>
      </c>
      <c r="I415">
        <v>0</v>
      </c>
      <c r="J415">
        <v>0</v>
      </c>
      <c r="O415" t="s">
        <v>21</v>
      </c>
      <c r="P415" t="s">
        <v>2263</v>
      </c>
    </row>
    <row r="416" spans="1:16" x14ac:dyDescent="0.3">
      <c r="A416" t="s">
        <v>2264</v>
      </c>
      <c r="C416" t="s">
        <v>1346</v>
      </c>
      <c r="D416" t="s">
        <v>408</v>
      </c>
      <c r="E416" t="s">
        <v>409</v>
      </c>
      <c r="G416" t="s">
        <v>20</v>
      </c>
      <c r="H416">
        <v>5100</v>
      </c>
      <c r="I416">
        <v>27.412500000000001</v>
      </c>
      <c r="J416">
        <v>5072.5874999999996</v>
      </c>
      <c r="O416" t="s">
        <v>21</v>
      </c>
      <c r="P416" t="s">
        <v>2265</v>
      </c>
    </row>
    <row r="417" spans="1:16" x14ac:dyDescent="0.3">
      <c r="A417" t="s">
        <v>2266</v>
      </c>
      <c r="C417" t="s">
        <v>1346</v>
      </c>
      <c r="D417" t="s">
        <v>408</v>
      </c>
      <c r="E417" t="s">
        <v>409</v>
      </c>
      <c r="G417" t="s">
        <v>20</v>
      </c>
      <c r="H417">
        <v>6500</v>
      </c>
      <c r="I417">
        <v>34.9375</v>
      </c>
      <c r="J417">
        <v>6465.0625</v>
      </c>
      <c r="O417" t="s">
        <v>21</v>
      </c>
      <c r="P417" t="s">
        <v>2267</v>
      </c>
    </row>
    <row r="418" spans="1:16" x14ac:dyDescent="0.3">
      <c r="A418" t="s">
        <v>2268</v>
      </c>
      <c r="B418" s="1" t="s">
        <v>2269</v>
      </c>
      <c r="C418" t="s">
        <v>1346</v>
      </c>
      <c r="D418" t="s">
        <v>1203</v>
      </c>
      <c r="E418" t="s">
        <v>19</v>
      </c>
      <c r="G418" t="s">
        <v>20</v>
      </c>
      <c r="H418">
        <v>11000</v>
      </c>
      <c r="I418">
        <v>25</v>
      </c>
      <c r="J418">
        <v>0</v>
      </c>
      <c r="O418" t="s">
        <v>21</v>
      </c>
      <c r="P418" t="s">
        <v>2270</v>
      </c>
    </row>
    <row r="419" spans="1:16" x14ac:dyDescent="0.3">
      <c r="A419" t="s">
        <v>2271</v>
      </c>
      <c r="C419" t="s">
        <v>1346</v>
      </c>
      <c r="D419" t="s">
        <v>408</v>
      </c>
      <c r="E419" t="s">
        <v>409</v>
      </c>
      <c r="G419" t="s">
        <v>20</v>
      </c>
      <c r="H419">
        <v>50000</v>
      </c>
      <c r="I419">
        <v>107.5</v>
      </c>
      <c r="J419">
        <v>49892.5</v>
      </c>
      <c r="O419" t="s">
        <v>21</v>
      </c>
      <c r="P419" t="s">
        <v>2272</v>
      </c>
    </row>
    <row r="420" spans="1:16" x14ac:dyDescent="0.3">
      <c r="A420" t="s">
        <v>2273</v>
      </c>
      <c r="C420" t="s">
        <v>1346</v>
      </c>
      <c r="D420" t="s">
        <v>408</v>
      </c>
      <c r="E420" t="s">
        <v>409</v>
      </c>
      <c r="G420" t="s">
        <v>20</v>
      </c>
      <c r="H420">
        <v>2100</v>
      </c>
      <c r="I420">
        <v>11.2875</v>
      </c>
      <c r="J420">
        <v>2088.7125000000001</v>
      </c>
      <c r="O420" t="s">
        <v>21</v>
      </c>
      <c r="P420" t="s">
        <v>2274</v>
      </c>
    </row>
    <row r="421" spans="1:16" x14ac:dyDescent="0.3">
      <c r="A421" t="s">
        <v>2275</v>
      </c>
      <c r="C421" t="s">
        <v>1346</v>
      </c>
      <c r="D421" t="s">
        <v>408</v>
      </c>
      <c r="E421" t="s">
        <v>409</v>
      </c>
      <c r="G421" t="s">
        <v>20</v>
      </c>
      <c r="H421">
        <v>5100</v>
      </c>
      <c r="I421">
        <v>27.412500000000001</v>
      </c>
      <c r="J421">
        <v>5072.5874999999996</v>
      </c>
      <c r="O421" t="s">
        <v>21</v>
      </c>
      <c r="P421" t="s">
        <v>2276</v>
      </c>
    </row>
    <row r="422" spans="1:16" x14ac:dyDescent="0.3">
      <c r="A422" t="s">
        <v>2277</v>
      </c>
      <c r="C422" t="s">
        <v>1346</v>
      </c>
      <c r="D422" t="s">
        <v>408</v>
      </c>
      <c r="E422" t="s">
        <v>409</v>
      </c>
      <c r="G422" t="s">
        <v>20</v>
      </c>
      <c r="H422">
        <v>5100</v>
      </c>
      <c r="I422">
        <v>27.412500000000001</v>
      </c>
      <c r="J422">
        <v>5072.5874999999996</v>
      </c>
      <c r="O422" t="s">
        <v>21</v>
      </c>
      <c r="P422" t="s">
        <v>2278</v>
      </c>
    </row>
    <row r="423" spans="1:16" x14ac:dyDescent="0.3">
      <c r="A423" t="s">
        <v>2279</v>
      </c>
      <c r="C423" t="s">
        <v>1346</v>
      </c>
      <c r="D423" t="s">
        <v>404</v>
      </c>
      <c r="E423" t="s">
        <v>19</v>
      </c>
      <c r="F423" t="s">
        <v>1068</v>
      </c>
      <c r="G423" t="s">
        <v>20</v>
      </c>
      <c r="H423">
        <v>11537</v>
      </c>
      <c r="I423">
        <v>0</v>
      </c>
      <c r="J423">
        <v>0</v>
      </c>
      <c r="O423" t="s">
        <v>21</v>
      </c>
      <c r="P423" t="s">
        <v>2280</v>
      </c>
    </row>
    <row r="424" spans="1:16" x14ac:dyDescent="0.3">
      <c r="A424" t="s">
        <v>2281</v>
      </c>
      <c r="C424" t="s">
        <v>1346</v>
      </c>
      <c r="D424" t="s">
        <v>408</v>
      </c>
      <c r="E424" t="s">
        <v>409</v>
      </c>
      <c r="G424" t="s">
        <v>20</v>
      </c>
      <c r="H424">
        <v>3100</v>
      </c>
      <c r="I424">
        <v>16.662500000000001</v>
      </c>
      <c r="J424">
        <v>3083.3375000000001</v>
      </c>
      <c r="O424" t="s">
        <v>21</v>
      </c>
      <c r="P424" t="s">
        <v>2282</v>
      </c>
    </row>
    <row r="425" spans="1:16" x14ac:dyDescent="0.3">
      <c r="A425" t="s">
        <v>2283</v>
      </c>
      <c r="C425" t="s">
        <v>1346</v>
      </c>
      <c r="D425" t="s">
        <v>408</v>
      </c>
      <c r="E425" t="s">
        <v>409</v>
      </c>
      <c r="G425" t="s">
        <v>20</v>
      </c>
      <c r="H425">
        <v>8500</v>
      </c>
      <c r="I425">
        <v>45.6875</v>
      </c>
      <c r="J425">
        <v>8454.3125</v>
      </c>
      <c r="O425" t="s">
        <v>21</v>
      </c>
      <c r="P425" t="s">
        <v>2284</v>
      </c>
    </row>
    <row r="426" spans="1:16" x14ac:dyDescent="0.3">
      <c r="A426" t="s">
        <v>2285</v>
      </c>
      <c r="C426" t="s">
        <v>1346</v>
      </c>
      <c r="D426" t="s">
        <v>408</v>
      </c>
      <c r="E426" t="s">
        <v>409</v>
      </c>
      <c r="G426" t="s">
        <v>20</v>
      </c>
      <c r="H426">
        <v>10200</v>
      </c>
      <c r="I426">
        <v>54.825000000000003</v>
      </c>
      <c r="J426">
        <v>10145.174999999999</v>
      </c>
      <c r="O426" t="s">
        <v>412</v>
      </c>
      <c r="P426" t="s">
        <v>2286</v>
      </c>
    </row>
    <row r="427" spans="1:16" x14ac:dyDescent="0.3">
      <c r="A427" t="s">
        <v>2287</v>
      </c>
      <c r="B427" s="1" t="s">
        <v>2288</v>
      </c>
      <c r="C427" t="s">
        <v>1346</v>
      </c>
      <c r="D427" t="s">
        <v>1203</v>
      </c>
      <c r="E427" t="s">
        <v>19</v>
      </c>
      <c r="G427" t="s">
        <v>20</v>
      </c>
      <c r="H427">
        <v>9000</v>
      </c>
      <c r="I427">
        <v>25</v>
      </c>
      <c r="J427">
        <v>0</v>
      </c>
      <c r="O427" t="s">
        <v>21</v>
      </c>
      <c r="P427" t="s">
        <v>2289</v>
      </c>
    </row>
    <row r="428" spans="1:16" x14ac:dyDescent="0.3">
      <c r="A428" t="s">
        <v>2290</v>
      </c>
      <c r="C428" t="s">
        <v>1346</v>
      </c>
      <c r="D428" t="s">
        <v>404</v>
      </c>
      <c r="E428" t="s">
        <v>19</v>
      </c>
      <c r="F428" t="s">
        <v>2291</v>
      </c>
      <c r="G428" t="s">
        <v>20</v>
      </c>
      <c r="H428">
        <v>4973</v>
      </c>
      <c r="I428">
        <v>0</v>
      </c>
      <c r="J428">
        <v>0</v>
      </c>
      <c r="O428" t="s">
        <v>21</v>
      </c>
      <c r="P428" t="s">
        <v>2292</v>
      </c>
    </row>
    <row r="429" spans="1:16" x14ac:dyDescent="0.3">
      <c r="A429" t="s">
        <v>2293</v>
      </c>
      <c r="C429" t="s">
        <v>1346</v>
      </c>
      <c r="D429" t="s">
        <v>408</v>
      </c>
      <c r="E429" t="s">
        <v>409</v>
      </c>
      <c r="G429" t="s">
        <v>20</v>
      </c>
      <c r="H429">
        <v>5000</v>
      </c>
      <c r="I429" s="1" t="s">
        <v>1275</v>
      </c>
      <c r="J429">
        <v>4973.125</v>
      </c>
      <c r="O429" t="s">
        <v>21</v>
      </c>
      <c r="P429" t="s">
        <v>2294</v>
      </c>
    </row>
    <row r="430" spans="1:16" x14ac:dyDescent="0.3">
      <c r="A430" t="s">
        <v>2295</v>
      </c>
      <c r="C430" t="s">
        <v>1346</v>
      </c>
      <c r="D430" t="s">
        <v>408</v>
      </c>
      <c r="E430" t="s">
        <v>409</v>
      </c>
      <c r="G430" t="s">
        <v>20</v>
      </c>
      <c r="H430">
        <v>6000</v>
      </c>
      <c r="I430" s="1" t="s">
        <v>1705</v>
      </c>
      <c r="J430">
        <v>5967.75</v>
      </c>
      <c r="O430" t="s">
        <v>412</v>
      </c>
      <c r="P430" t="s">
        <v>2296</v>
      </c>
    </row>
    <row r="431" spans="1:16" x14ac:dyDescent="0.3">
      <c r="A431" t="s">
        <v>2297</v>
      </c>
      <c r="C431" t="s">
        <v>1346</v>
      </c>
      <c r="D431" t="s">
        <v>404</v>
      </c>
      <c r="E431" t="s">
        <v>19</v>
      </c>
      <c r="F431" t="s">
        <v>1085</v>
      </c>
      <c r="G431" t="s">
        <v>20</v>
      </c>
      <c r="H431">
        <v>4077</v>
      </c>
      <c r="I431">
        <v>0</v>
      </c>
      <c r="J431">
        <v>0</v>
      </c>
      <c r="O431" t="s">
        <v>21</v>
      </c>
      <c r="P431" t="s">
        <v>2298</v>
      </c>
    </row>
    <row r="432" spans="1:16" x14ac:dyDescent="0.3">
      <c r="A432" t="s">
        <v>2299</v>
      </c>
      <c r="C432" t="s">
        <v>1346</v>
      </c>
      <c r="D432" t="s">
        <v>408</v>
      </c>
      <c r="E432" t="s">
        <v>409</v>
      </c>
      <c r="G432" t="s">
        <v>20</v>
      </c>
      <c r="H432">
        <v>2100</v>
      </c>
      <c r="I432">
        <v>11.2875</v>
      </c>
      <c r="J432">
        <v>2088.7125000000001</v>
      </c>
      <c r="O432" t="s">
        <v>412</v>
      </c>
      <c r="P432" t="s">
        <v>2300</v>
      </c>
    </row>
    <row r="433" spans="1:16" x14ac:dyDescent="0.3">
      <c r="A433" t="s">
        <v>2301</v>
      </c>
      <c r="C433" t="s">
        <v>1346</v>
      </c>
      <c r="D433" t="s">
        <v>408</v>
      </c>
      <c r="E433" t="s">
        <v>409</v>
      </c>
      <c r="G433" t="s">
        <v>20</v>
      </c>
      <c r="H433">
        <v>2100</v>
      </c>
      <c r="I433">
        <v>11.2875</v>
      </c>
      <c r="J433">
        <v>2088.7125000000001</v>
      </c>
      <c r="O433" t="s">
        <v>412</v>
      </c>
      <c r="P433" t="s">
        <v>2302</v>
      </c>
    </row>
    <row r="434" spans="1:16" x14ac:dyDescent="0.3">
      <c r="A434" t="s">
        <v>2303</v>
      </c>
      <c r="C434" t="s">
        <v>1346</v>
      </c>
      <c r="D434" t="s">
        <v>408</v>
      </c>
      <c r="E434" t="s">
        <v>409</v>
      </c>
      <c r="G434" t="s">
        <v>20</v>
      </c>
      <c r="H434">
        <v>4100</v>
      </c>
      <c r="I434">
        <v>22.037500000000001</v>
      </c>
      <c r="J434">
        <v>4077.9625000000001</v>
      </c>
      <c r="O434" t="s">
        <v>21</v>
      </c>
      <c r="P434" t="s">
        <v>2304</v>
      </c>
    </row>
    <row r="435" spans="1:16" x14ac:dyDescent="0.3">
      <c r="A435" t="s">
        <v>2305</v>
      </c>
      <c r="B435" s="1" t="s">
        <v>2306</v>
      </c>
      <c r="C435" t="s">
        <v>1346</v>
      </c>
      <c r="D435" t="s">
        <v>1203</v>
      </c>
      <c r="E435" t="s">
        <v>19</v>
      </c>
      <c r="G435" t="s">
        <v>20</v>
      </c>
      <c r="H435">
        <v>26000</v>
      </c>
      <c r="I435">
        <v>25</v>
      </c>
      <c r="J435">
        <v>0</v>
      </c>
      <c r="O435" t="s">
        <v>21</v>
      </c>
      <c r="P435" t="s">
        <v>2307</v>
      </c>
    </row>
    <row r="436" spans="1:16" x14ac:dyDescent="0.3">
      <c r="A436" t="s">
        <v>2308</v>
      </c>
      <c r="C436" t="s">
        <v>1346</v>
      </c>
      <c r="D436" t="s">
        <v>404</v>
      </c>
      <c r="E436" t="s">
        <v>19</v>
      </c>
      <c r="F436" t="s">
        <v>1098</v>
      </c>
      <c r="G436" t="s">
        <v>20</v>
      </c>
      <c r="H436">
        <v>26365</v>
      </c>
      <c r="I436">
        <v>0</v>
      </c>
      <c r="J436">
        <v>0</v>
      </c>
      <c r="O436" t="s">
        <v>21</v>
      </c>
      <c r="P436" t="s">
        <v>2309</v>
      </c>
    </row>
    <row r="437" spans="1:16" x14ac:dyDescent="0.3">
      <c r="A437" t="s">
        <v>2310</v>
      </c>
      <c r="C437" t="s">
        <v>1346</v>
      </c>
      <c r="D437" t="s">
        <v>408</v>
      </c>
      <c r="E437" t="s">
        <v>409</v>
      </c>
      <c r="G437" t="s">
        <v>20</v>
      </c>
      <c r="H437">
        <v>5000</v>
      </c>
      <c r="I437" s="1" t="s">
        <v>1275</v>
      </c>
      <c r="J437">
        <v>4973.125</v>
      </c>
      <c r="O437" t="s">
        <v>21</v>
      </c>
      <c r="P437" t="s">
        <v>2311</v>
      </c>
    </row>
    <row r="438" spans="1:16" x14ac:dyDescent="0.3">
      <c r="A438" t="s">
        <v>2312</v>
      </c>
      <c r="B438" s="1" t="s">
        <v>2313</v>
      </c>
      <c r="C438" t="s">
        <v>1346</v>
      </c>
      <c r="D438" t="s">
        <v>1203</v>
      </c>
      <c r="E438" t="s">
        <v>19</v>
      </c>
      <c r="G438" t="s">
        <v>20</v>
      </c>
      <c r="H438">
        <v>6000</v>
      </c>
      <c r="I438">
        <v>25</v>
      </c>
      <c r="J438">
        <v>0</v>
      </c>
      <c r="O438" t="s">
        <v>21</v>
      </c>
      <c r="P438" t="s">
        <v>2314</v>
      </c>
    </row>
    <row r="439" spans="1:16" x14ac:dyDescent="0.3">
      <c r="A439" t="s">
        <v>2315</v>
      </c>
      <c r="C439" t="s">
        <v>1346</v>
      </c>
      <c r="D439" t="s">
        <v>408</v>
      </c>
      <c r="E439" t="s">
        <v>409</v>
      </c>
      <c r="G439" t="s">
        <v>20</v>
      </c>
      <c r="H439">
        <v>21500</v>
      </c>
      <c r="I439">
        <v>107.5</v>
      </c>
      <c r="J439">
        <v>21392.5</v>
      </c>
      <c r="O439" t="s">
        <v>21</v>
      </c>
      <c r="P439" t="s">
        <v>2316</v>
      </c>
    </row>
    <row r="440" spans="1:16" x14ac:dyDescent="0.3">
      <c r="A440" t="s">
        <v>2317</v>
      </c>
      <c r="C440" t="s">
        <v>1346</v>
      </c>
      <c r="D440" t="s">
        <v>404</v>
      </c>
      <c r="E440" t="s">
        <v>19</v>
      </c>
      <c r="F440" t="s">
        <v>1111</v>
      </c>
      <c r="G440" t="s">
        <v>20</v>
      </c>
      <c r="H440">
        <v>5072</v>
      </c>
      <c r="I440">
        <v>0</v>
      </c>
      <c r="J440">
        <v>0</v>
      </c>
      <c r="O440" t="s">
        <v>21</v>
      </c>
      <c r="P440" t="s">
        <v>2318</v>
      </c>
    </row>
    <row r="441" spans="1:16" x14ac:dyDescent="0.3">
      <c r="A441" t="s">
        <v>2319</v>
      </c>
      <c r="C441" t="s">
        <v>1346</v>
      </c>
      <c r="D441" t="s">
        <v>408</v>
      </c>
      <c r="E441" t="s">
        <v>409</v>
      </c>
      <c r="G441" t="s">
        <v>20</v>
      </c>
      <c r="H441">
        <v>5100</v>
      </c>
      <c r="I441">
        <v>27.412500000000001</v>
      </c>
      <c r="J441">
        <v>5072.5874999999996</v>
      </c>
      <c r="O441" t="s">
        <v>21</v>
      </c>
      <c r="P441" t="s">
        <v>2320</v>
      </c>
    </row>
    <row r="442" spans="1:16" x14ac:dyDescent="0.3">
      <c r="A442" t="s">
        <v>2321</v>
      </c>
      <c r="B442" s="1" t="s">
        <v>2322</v>
      </c>
      <c r="C442" t="s">
        <v>1346</v>
      </c>
      <c r="D442" t="s">
        <v>1203</v>
      </c>
      <c r="E442" t="s">
        <v>19</v>
      </c>
      <c r="G442" t="s">
        <v>20</v>
      </c>
      <c r="H442">
        <v>10500</v>
      </c>
      <c r="I442">
        <v>25</v>
      </c>
      <c r="J442">
        <v>0</v>
      </c>
      <c r="O442" t="s">
        <v>21</v>
      </c>
      <c r="P442" t="s">
        <v>2323</v>
      </c>
    </row>
    <row r="443" spans="1:16" x14ac:dyDescent="0.3">
      <c r="A443" t="s">
        <v>2324</v>
      </c>
      <c r="C443" t="s">
        <v>1346</v>
      </c>
      <c r="D443" t="s">
        <v>404</v>
      </c>
      <c r="E443" t="s">
        <v>19</v>
      </c>
      <c r="F443" t="s">
        <v>2325</v>
      </c>
      <c r="G443" t="s">
        <v>20</v>
      </c>
      <c r="H443">
        <v>9150</v>
      </c>
      <c r="I443">
        <v>0</v>
      </c>
      <c r="J443">
        <v>0</v>
      </c>
      <c r="O443" t="s">
        <v>21</v>
      </c>
      <c r="P443" t="s">
        <v>2326</v>
      </c>
    </row>
    <row r="444" spans="1:16" x14ac:dyDescent="0.3">
      <c r="A444" t="s">
        <v>2327</v>
      </c>
      <c r="C444" t="s">
        <v>1346</v>
      </c>
      <c r="D444" t="s">
        <v>408</v>
      </c>
      <c r="E444" t="s">
        <v>409</v>
      </c>
      <c r="G444" t="s">
        <v>20</v>
      </c>
      <c r="H444">
        <v>4100</v>
      </c>
      <c r="I444">
        <v>22.037500000000001</v>
      </c>
      <c r="J444">
        <v>4077.9625000000001</v>
      </c>
      <c r="O444" t="s">
        <v>21</v>
      </c>
      <c r="P444" t="s">
        <v>2328</v>
      </c>
    </row>
    <row r="445" spans="1:16" x14ac:dyDescent="0.3">
      <c r="A445" t="s">
        <v>2329</v>
      </c>
      <c r="C445" t="s">
        <v>1346</v>
      </c>
      <c r="D445" t="s">
        <v>408</v>
      </c>
      <c r="E445" t="s">
        <v>409</v>
      </c>
      <c r="G445" t="s">
        <v>20</v>
      </c>
      <c r="H445">
        <v>5100</v>
      </c>
      <c r="I445">
        <v>27.412500000000001</v>
      </c>
      <c r="J445">
        <v>5072.5874999999996</v>
      </c>
      <c r="O445" t="s">
        <v>21</v>
      </c>
      <c r="P445" t="s">
        <v>2330</v>
      </c>
    </row>
    <row r="446" spans="1:16" x14ac:dyDescent="0.3">
      <c r="A446" t="s">
        <v>2331</v>
      </c>
      <c r="C446" t="s">
        <v>1346</v>
      </c>
      <c r="D446" t="s">
        <v>1116</v>
      </c>
      <c r="E446" t="s">
        <v>1117</v>
      </c>
      <c r="F446" t="s">
        <v>1118</v>
      </c>
      <c r="G446" t="s">
        <v>20</v>
      </c>
      <c r="H446">
        <v>0</v>
      </c>
      <c r="I446">
        <v>0</v>
      </c>
      <c r="J446">
        <v>0</v>
      </c>
      <c r="O446" t="s">
        <v>21</v>
      </c>
      <c r="P446" t="s">
        <v>2332</v>
      </c>
    </row>
    <row r="447" spans="1:16" x14ac:dyDescent="0.3">
      <c r="A447" t="s">
        <v>2333</v>
      </c>
      <c r="C447" t="s">
        <v>1346</v>
      </c>
      <c r="D447" t="s">
        <v>408</v>
      </c>
      <c r="E447" t="s">
        <v>409</v>
      </c>
      <c r="G447" t="s">
        <v>20</v>
      </c>
      <c r="H447">
        <v>2000</v>
      </c>
      <c r="I447">
        <v>10.75</v>
      </c>
      <c r="J447">
        <v>1989.25</v>
      </c>
      <c r="O447" t="s">
        <v>412</v>
      </c>
      <c r="P447" t="s">
        <v>2334</v>
      </c>
    </row>
    <row r="448" spans="1:16" x14ac:dyDescent="0.3">
      <c r="A448" t="s">
        <v>2335</v>
      </c>
      <c r="C448" t="s">
        <v>1346</v>
      </c>
      <c r="D448" t="s">
        <v>408</v>
      </c>
      <c r="E448" t="s">
        <v>409</v>
      </c>
      <c r="G448" t="s">
        <v>20</v>
      </c>
      <c r="H448">
        <v>2000</v>
      </c>
      <c r="I448">
        <v>10.75</v>
      </c>
      <c r="J448">
        <v>1989.25</v>
      </c>
      <c r="O448" t="s">
        <v>412</v>
      </c>
      <c r="P448" t="s">
        <v>2336</v>
      </c>
    </row>
    <row r="449" spans="1:16" x14ac:dyDescent="0.3">
      <c r="A449" t="s">
        <v>2337</v>
      </c>
      <c r="C449" t="s">
        <v>1346</v>
      </c>
      <c r="D449" t="s">
        <v>404</v>
      </c>
      <c r="E449" t="s">
        <v>19</v>
      </c>
      <c r="F449" t="s">
        <v>2338</v>
      </c>
      <c r="G449" t="s">
        <v>20</v>
      </c>
      <c r="H449">
        <v>2088</v>
      </c>
      <c r="I449">
        <v>0</v>
      </c>
      <c r="J449">
        <v>0</v>
      </c>
      <c r="O449" t="s">
        <v>21</v>
      </c>
      <c r="P449" t="s">
        <v>2339</v>
      </c>
    </row>
    <row r="450" spans="1:16" x14ac:dyDescent="0.3">
      <c r="A450" t="s">
        <v>2340</v>
      </c>
      <c r="C450" t="s">
        <v>1346</v>
      </c>
      <c r="D450" t="s">
        <v>408</v>
      </c>
      <c r="E450" t="s">
        <v>409</v>
      </c>
      <c r="G450" t="s">
        <v>20</v>
      </c>
      <c r="H450">
        <v>2100</v>
      </c>
      <c r="I450">
        <v>11.2875</v>
      </c>
      <c r="J450">
        <v>2088.7125000000001</v>
      </c>
      <c r="O450" t="s">
        <v>21</v>
      </c>
      <c r="P450" t="s">
        <v>2341</v>
      </c>
    </row>
    <row r="451" spans="1:16" x14ac:dyDescent="0.3">
      <c r="A451" t="s">
        <v>2342</v>
      </c>
      <c r="B451" s="1" t="s">
        <v>2343</v>
      </c>
      <c r="C451" t="s">
        <v>1346</v>
      </c>
      <c r="D451" t="s">
        <v>1203</v>
      </c>
      <c r="E451" t="s">
        <v>19</v>
      </c>
      <c r="G451" t="s">
        <v>20</v>
      </c>
      <c r="H451">
        <v>1000</v>
      </c>
      <c r="I451">
        <v>25</v>
      </c>
      <c r="J451">
        <v>0</v>
      </c>
      <c r="O451" t="s">
        <v>21</v>
      </c>
      <c r="P451" t="s">
        <v>2344</v>
      </c>
    </row>
    <row r="452" spans="1:16" x14ac:dyDescent="0.3">
      <c r="A452" t="s">
        <v>2345</v>
      </c>
      <c r="B452" s="1" t="s">
        <v>2346</v>
      </c>
      <c r="C452" t="s">
        <v>1346</v>
      </c>
      <c r="D452" t="s">
        <v>1203</v>
      </c>
      <c r="E452" t="s">
        <v>19</v>
      </c>
      <c r="G452" t="s">
        <v>20</v>
      </c>
      <c r="H452">
        <v>15000</v>
      </c>
      <c r="I452">
        <v>25</v>
      </c>
      <c r="J452">
        <v>0</v>
      </c>
      <c r="O452" t="s">
        <v>21</v>
      </c>
      <c r="P452" t="s">
        <v>2347</v>
      </c>
    </row>
    <row r="453" spans="1:16" x14ac:dyDescent="0.3">
      <c r="A453" t="s">
        <v>2348</v>
      </c>
      <c r="C453" t="s">
        <v>1346</v>
      </c>
      <c r="D453" t="s">
        <v>404</v>
      </c>
      <c r="E453" t="s">
        <v>19</v>
      </c>
      <c r="F453" t="s">
        <v>2349</v>
      </c>
      <c r="G453" t="s">
        <v>20</v>
      </c>
      <c r="H453">
        <v>12930</v>
      </c>
      <c r="I453">
        <v>0</v>
      </c>
      <c r="J453">
        <v>0</v>
      </c>
      <c r="O453" t="s">
        <v>21</v>
      </c>
      <c r="P453" t="s">
        <v>2350</v>
      </c>
    </row>
    <row r="454" spans="1:16" x14ac:dyDescent="0.3">
      <c r="A454" t="s">
        <v>2351</v>
      </c>
      <c r="C454" t="s">
        <v>1346</v>
      </c>
      <c r="D454" t="s">
        <v>408</v>
      </c>
      <c r="E454" t="s">
        <v>409</v>
      </c>
      <c r="G454" t="s">
        <v>20</v>
      </c>
      <c r="H454">
        <v>5000</v>
      </c>
      <c r="I454" s="1" t="s">
        <v>1275</v>
      </c>
      <c r="J454">
        <v>4973.125</v>
      </c>
      <c r="O454" t="s">
        <v>21</v>
      </c>
      <c r="P454" t="s">
        <v>2352</v>
      </c>
    </row>
    <row r="455" spans="1:16" x14ac:dyDescent="0.3">
      <c r="A455" t="s">
        <v>2353</v>
      </c>
      <c r="C455" t="s">
        <v>1346</v>
      </c>
      <c r="D455" t="s">
        <v>408</v>
      </c>
      <c r="E455" t="s">
        <v>409</v>
      </c>
      <c r="G455" t="s">
        <v>20</v>
      </c>
      <c r="H455">
        <v>3000</v>
      </c>
      <c r="I455" s="1" t="s">
        <v>1393</v>
      </c>
      <c r="J455">
        <v>2983.875</v>
      </c>
      <c r="O455" t="s">
        <v>21</v>
      </c>
      <c r="P455" t="s">
        <v>2354</v>
      </c>
    </row>
    <row r="456" spans="1:16" x14ac:dyDescent="0.3">
      <c r="A456" t="s">
        <v>2355</v>
      </c>
      <c r="C456" t="s">
        <v>1346</v>
      </c>
      <c r="D456" t="s">
        <v>408</v>
      </c>
      <c r="E456" t="s">
        <v>409</v>
      </c>
      <c r="G456" t="s">
        <v>20</v>
      </c>
      <c r="H456">
        <v>5000</v>
      </c>
      <c r="I456" s="1" t="s">
        <v>1275</v>
      </c>
      <c r="J456">
        <v>4973.125</v>
      </c>
      <c r="O456" t="s">
        <v>21</v>
      </c>
      <c r="P456" t="s">
        <v>2356</v>
      </c>
    </row>
    <row r="457" spans="1:16" x14ac:dyDescent="0.3">
      <c r="A457" t="s">
        <v>2357</v>
      </c>
      <c r="C457" t="s">
        <v>1346</v>
      </c>
      <c r="D457" t="s">
        <v>404</v>
      </c>
      <c r="E457" t="s">
        <v>19</v>
      </c>
      <c r="F457" t="s">
        <v>1151</v>
      </c>
      <c r="G457" t="s">
        <v>20</v>
      </c>
      <c r="H457">
        <v>2088</v>
      </c>
      <c r="I457">
        <v>0</v>
      </c>
      <c r="J457">
        <v>0</v>
      </c>
      <c r="O457" t="s">
        <v>21</v>
      </c>
      <c r="P457" t="s">
        <v>2358</v>
      </c>
    </row>
    <row r="458" spans="1:16" x14ac:dyDescent="0.3">
      <c r="A458" t="s">
        <v>2359</v>
      </c>
      <c r="C458" t="s">
        <v>1346</v>
      </c>
      <c r="D458" t="s">
        <v>408</v>
      </c>
      <c r="E458" t="s">
        <v>409</v>
      </c>
      <c r="G458" t="s">
        <v>20</v>
      </c>
      <c r="H458">
        <v>2100</v>
      </c>
      <c r="I458">
        <v>11.2875</v>
      </c>
      <c r="J458">
        <v>2088.7125000000001</v>
      </c>
      <c r="O458" t="s">
        <v>412</v>
      </c>
      <c r="P458" t="s">
        <v>2360</v>
      </c>
    </row>
    <row r="459" spans="1:16" x14ac:dyDescent="0.3">
      <c r="A459" t="s">
        <v>2361</v>
      </c>
      <c r="C459" t="s">
        <v>1346</v>
      </c>
      <c r="D459" t="s">
        <v>408</v>
      </c>
      <c r="E459" t="s">
        <v>409</v>
      </c>
      <c r="G459" t="s">
        <v>20</v>
      </c>
      <c r="H459">
        <v>2100</v>
      </c>
      <c r="I459">
        <v>11.2875</v>
      </c>
      <c r="J459">
        <v>2088.7125000000001</v>
      </c>
      <c r="O459" t="s">
        <v>21</v>
      </c>
      <c r="P459" t="s">
        <v>2362</v>
      </c>
    </row>
    <row r="460" spans="1:16" x14ac:dyDescent="0.3">
      <c r="A460" t="s">
        <v>2363</v>
      </c>
      <c r="B460" s="1" t="s">
        <v>2364</v>
      </c>
      <c r="C460" t="s">
        <v>1346</v>
      </c>
      <c r="D460" t="s">
        <v>1203</v>
      </c>
      <c r="E460" t="s">
        <v>19</v>
      </c>
      <c r="G460" t="s">
        <v>20</v>
      </c>
      <c r="H460">
        <v>22000</v>
      </c>
      <c r="I460">
        <v>25</v>
      </c>
      <c r="J460">
        <v>0</v>
      </c>
      <c r="O460" t="s">
        <v>21</v>
      </c>
      <c r="P460" t="s">
        <v>2365</v>
      </c>
    </row>
    <row r="461" spans="1:16" x14ac:dyDescent="0.3">
      <c r="A461" t="s">
        <v>2366</v>
      </c>
      <c r="C461" t="s">
        <v>1346</v>
      </c>
      <c r="D461" t="s">
        <v>404</v>
      </c>
      <c r="E461" t="s">
        <v>19</v>
      </c>
      <c r="F461" t="s">
        <v>2367</v>
      </c>
      <c r="G461" t="s">
        <v>20</v>
      </c>
      <c r="H461">
        <v>23287</v>
      </c>
      <c r="I461">
        <v>0</v>
      </c>
      <c r="J461">
        <v>0</v>
      </c>
      <c r="O461" t="s">
        <v>21</v>
      </c>
      <c r="P461" t="s">
        <v>2368</v>
      </c>
    </row>
    <row r="462" spans="1:16" x14ac:dyDescent="0.3">
      <c r="A462" t="s">
        <v>2369</v>
      </c>
      <c r="C462" t="s">
        <v>1346</v>
      </c>
      <c r="D462" t="s">
        <v>408</v>
      </c>
      <c r="E462" t="s">
        <v>409</v>
      </c>
      <c r="G462" t="s">
        <v>20</v>
      </c>
      <c r="H462">
        <v>22400</v>
      </c>
      <c r="I462">
        <v>107.5</v>
      </c>
      <c r="J462">
        <v>22292.5</v>
      </c>
      <c r="O462" t="s">
        <v>21</v>
      </c>
      <c r="P462" t="s">
        <v>2370</v>
      </c>
    </row>
    <row r="463" spans="1:16" x14ac:dyDescent="0.3">
      <c r="A463" t="s">
        <v>2371</v>
      </c>
      <c r="C463" t="s">
        <v>1346</v>
      </c>
      <c r="D463" t="s">
        <v>408</v>
      </c>
      <c r="E463" t="s">
        <v>409</v>
      </c>
      <c r="G463" t="s">
        <v>20</v>
      </c>
      <c r="H463">
        <v>1000</v>
      </c>
      <c r="I463">
        <v>5.375</v>
      </c>
      <c r="J463">
        <v>994.625</v>
      </c>
      <c r="O463" t="s">
        <v>21</v>
      </c>
      <c r="P463" t="s">
        <v>2372</v>
      </c>
    </row>
    <row r="464" spans="1:16" x14ac:dyDescent="0.3">
      <c r="A464" t="s">
        <v>2373</v>
      </c>
      <c r="C464" t="s">
        <v>1346</v>
      </c>
      <c r="D464" t="s">
        <v>18</v>
      </c>
      <c r="E464" t="s">
        <v>19</v>
      </c>
      <c r="G464" t="s">
        <v>20</v>
      </c>
      <c r="H464">
        <v>4021.5</v>
      </c>
      <c r="I464">
        <v>0</v>
      </c>
      <c r="J464">
        <v>4021.5</v>
      </c>
      <c r="O464" t="s">
        <v>21</v>
      </c>
      <c r="P464" t="s">
        <v>2374</v>
      </c>
    </row>
    <row r="465" spans="1:16" x14ac:dyDescent="0.3">
      <c r="A465" t="s">
        <v>2375</v>
      </c>
      <c r="C465" t="s">
        <v>1346</v>
      </c>
      <c r="D465" t="s">
        <v>18</v>
      </c>
      <c r="E465" t="s">
        <v>19</v>
      </c>
      <c r="G465" t="s">
        <v>20</v>
      </c>
      <c r="H465">
        <v>4000</v>
      </c>
      <c r="I465">
        <v>0</v>
      </c>
      <c r="J465">
        <v>4000</v>
      </c>
      <c r="O465" t="s">
        <v>21</v>
      </c>
      <c r="P465" t="s">
        <v>2376</v>
      </c>
    </row>
    <row r="466" spans="1:16" x14ac:dyDescent="0.3">
      <c r="A466" t="s">
        <v>2377</v>
      </c>
      <c r="C466" t="s">
        <v>1346</v>
      </c>
      <c r="D466" t="s">
        <v>18</v>
      </c>
      <c r="E466" t="s">
        <v>19</v>
      </c>
      <c r="G466" t="s">
        <v>20</v>
      </c>
      <c r="H466">
        <v>4000</v>
      </c>
      <c r="I466">
        <v>0</v>
      </c>
      <c r="J466">
        <v>4000</v>
      </c>
      <c r="O466" t="s">
        <v>21</v>
      </c>
      <c r="P466" t="s">
        <v>2378</v>
      </c>
    </row>
    <row r="467" spans="1:16" x14ac:dyDescent="0.3">
      <c r="A467" t="s">
        <v>2379</v>
      </c>
      <c r="B467" t="s">
        <v>2379</v>
      </c>
      <c r="C467" t="s">
        <v>1346</v>
      </c>
      <c r="D467" t="s">
        <v>1203</v>
      </c>
      <c r="E467" t="s">
        <v>19</v>
      </c>
      <c r="G467" t="s">
        <v>20</v>
      </c>
      <c r="H467">
        <v>4000</v>
      </c>
      <c r="I467">
        <v>25</v>
      </c>
      <c r="J467">
        <v>0</v>
      </c>
      <c r="O467" t="s">
        <v>412</v>
      </c>
      <c r="P467" t="s">
        <v>2380</v>
      </c>
    </row>
    <row r="468" spans="1:16" x14ac:dyDescent="0.3">
      <c r="A468" t="s">
        <v>2381</v>
      </c>
      <c r="C468" t="s">
        <v>1346</v>
      </c>
      <c r="D468" t="s">
        <v>404</v>
      </c>
      <c r="E468" t="s">
        <v>19</v>
      </c>
      <c r="F468" t="s">
        <v>2382</v>
      </c>
      <c r="G468" t="s">
        <v>20</v>
      </c>
      <c r="H468">
        <v>3978</v>
      </c>
      <c r="I468">
        <v>0</v>
      </c>
      <c r="J468">
        <v>0</v>
      </c>
      <c r="O468" t="s">
        <v>21</v>
      </c>
      <c r="P468" t="s">
        <v>2383</v>
      </c>
    </row>
    <row r="469" spans="1:16" x14ac:dyDescent="0.3">
      <c r="A469" t="s">
        <v>2384</v>
      </c>
      <c r="C469" t="s">
        <v>1346</v>
      </c>
      <c r="D469" t="s">
        <v>408</v>
      </c>
      <c r="E469" t="s">
        <v>409</v>
      </c>
      <c r="G469" t="s">
        <v>20</v>
      </c>
      <c r="H469">
        <v>4000</v>
      </c>
      <c r="I469">
        <v>21.5</v>
      </c>
      <c r="J469">
        <v>3978.5</v>
      </c>
      <c r="O469" t="s">
        <v>21</v>
      </c>
      <c r="P469" t="s">
        <v>2385</v>
      </c>
    </row>
    <row r="470" spans="1:16" x14ac:dyDescent="0.3">
      <c r="A470" t="s">
        <v>2386</v>
      </c>
      <c r="C470" t="s">
        <v>1346</v>
      </c>
      <c r="D470" t="s">
        <v>18</v>
      </c>
      <c r="E470" t="s">
        <v>19</v>
      </c>
      <c r="G470" t="s">
        <v>20</v>
      </c>
      <c r="H470">
        <v>11021.5</v>
      </c>
      <c r="I470">
        <v>0</v>
      </c>
      <c r="J470">
        <v>11021.5</v>
      </c>
      <c r="O470" t="s">
        <v>21</v>
      </c>
      <c r="P470" t="s">
        <v>2387</v>
      </c>
    </row>
    <row r="471" spans="1:16" x14ac:dyDescent="0.3">
      <c r="A471" t="s">
        <v>2388</v>
      </c>
      <c r="C471" t="s">
        <v>1346</v>
      </c>
      <c r="D471" t="s">
        <v>18</v>
      </c>
      <c r="E471" t="s">
        <v>19</v>
      </c>
      <c r="G471" t="s">
        <v>20</v>
      </c>
      <c r="H471">
        <v>10300</v>
      </c>
      <c r="I471">
        <v>0</v>
      </c>
      <c r="J471">
        <v>10300</v>
      </c>
      <c r="O471" t="s">
        <v>21</v>
      </c>
      <c r="P471" t="s">
        <v>2389</v>
      </c>
    </row>
    <row r="472" spans="1:16" x14ac:dyDescent="0.3">
      <c r="A472" t="s">
        <v>2390</v>
      </c>
      <c r="C472" t="s">
        <v>1346</v>
      </c>
      <c r="D472" t="s">
        <v>18</v>
      </c>
      <c r="E472" t="s">
        <v>19</v>
      </c>
      <c r="G472" t="s">
        <v>20</v>
      </c>
      <c r="H472">
        <v>10300</v>
      </c>
      <c r="I472">
        <v>0</v>
      </c>
      <c r="J472">
        <v>10300</v>
      </c>
      <c r="O472" t="s">
        <v>21</v>
      </c>
      <c r="P472" t="s">
        <v>2391</v>
      </c>
    </row>
    <row r="473" spans="1:16" x14ac:dyDescent="0.3">
      <c r="A473" t="s">
        <v>2392</v>
      </c>
      <c r="C473" t="s">
        <v>1346</v>
      </c>
      <c r="D473" t="s">
        <v>404</v>
      </c>
      <c r="E473" t="s">
        <v>19</v>
      </c>
      <c r="F473" t="s">
        <v>2393</v>
      </c>
      <c r="G473" t="s">
        <v>20</v>
      </c>
      <c r="H473">
        <v>10145</v>
      </c>
      <c r="I473">
        <v>0</v>
      </c>
      <c r="J473">
        <v>0</v>
      </c>
      <c r="O473" t="s">
        <v>21</v>
      </c>
      <c r="P473" t="s">
        <v>2394</v>
      </c>
    </row>
    <row r="474" spans="1:16" x14ac:dyDescent="0.3">
      <c r="A474" t="s">
        <v>2395</v>
      </c>
      <c r="C474" t="s">
        <v>1346</v>
      </c>
      <c r="D474" t="s">
        <v>408</v>
      </c>
      <c r="E474" t="s">
        <v>409</v>
      </c>
      <c r="G474" t="s">
        <v>20</v>
      </c>
      <c r="H474">
        <v>10200</v>
      </c>
      <c r="I474">
        <v>54.825000000000003</v>
      </c>
      <c r="J474">
        <v>10145.174999999999</v>
      </c>
      <c r="O474" t="s">
        <v>21</v>
      </c>
      <c r="P474" t="s">
        <v>2396</v>
      </c>
    </row>
    <row r="475" spans="1:16" x14ac:dyDescent="0.3">
      <c r="A475" t="s">
        <v>2397</v>
      </c>
      <c r="C475" t="s">
        <v>1346</v>
      </c>
      <c r="D475" t="s">
        <v>18</v>
      </c>
      <c r="E475" t="s">
        <v>19</v>
      </c>
      <c r="G475" t="s">
        <v>20</v>
      </c>
      <c r="H475">
        <v>1000</v>
      </c>
      <c r="I475">
        <v>0</v>
      </c>
      <c r="J475">
        <v>1000</v>
      </c>
      <c r="O475" t="s">
        <v>21</v>
      </c>
      <c r="P475" t="s">
        <v>2398</v>
      </c>
    </row>
    <row r="476" spans="1:16" x14ac:dyDescent="0.3">
      <c r="A476" t="s">
        <v>2399</v>
      </c>
      <c r="C476" t="s">
        <v>1346</v>
      </c>
      <c r="D476" t="s">
        <v>18</v>
      </c>
      <c r="E476" t="s">
        <v>19</v>
      </c>
      <c r="G476" t="s">
        <v>20</v>
      </c>
      <c r="H476">
        <v>1000</v>
      </c>
      <c r="I476">
        <v>0</v>
      </c>
      <c r="J476">
        <v>1000</v>
      </c>
      <c r="O476" t="s">
        <v>21</v>
      </c>
      <c r="P476" t="s">
        <v>2400</v>
      </c>
    </row>
    <row r="477" spans="1:16" x14ac:dyDescent="0.3">
      <c r="A477" t="s">
        <v>2401</v>
      </c>
      <c r="C477" t="s">
        <v>1346</v>
      </c>
      <c r="D477" t="s">
        <v>404</v>
      </c>
      <c r="E477" t="s">
        <v>19</v>
      </c>
      <c r="F477" t="s">
        <v>2402</v>
      </c>
      <c r="G477" t="s">
        <v>20</v>
      </c>
      <c r="H477">
        <v>994</v>
      </c>
      <c r="I477">
        <v>0</v>
      </c>
      <c r="J477">
        <v>0</v>
      </c>
      <c r="O477" t="s">
        <v>21</v>
      </c>
      <c r="P477" t="s">
        <v>2403</v>
      </c>
    </row>
    <row r="478" spans="1:16" x14ac:dyDescent="0.3">
      <c r="A478" t="s">
        <v>2404</v>
      </c>
      <c r="C478" t="s">
        <v>1346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21</v>
      </c>
      <c r="P478" t="s">
        <v>2405</v>
      </c>
    </row>
    <row r="479" spans="1:16" x14ac:dyDescent="0.3">
      <c r="A479" t="s">
        <v>2406</v>
      </c>
      <c r="B479" s="1" t="s">
        <v>2407</v>
      </c>
      <c r="C479" t="s">
        <v>1346</v>
      </c>
      <c r="D479" t="s">
        <v>1203</v>
      </c>
      <c r="E479" t="s">
        <v>19</v>
      </c>
      <c r="G479" t="s">
        <v>20</v>
      </c>
      <c r="H479">
        <v>32000</v>
      </c>
      <c r="I479">
        <v>25</v>
      </c>
      <c r="J479">
        <v>0</v>
      </c>
      <c r="O479" t="s">
        <v>21</v>
      </c>
      <c r="P479" t="s">
        <v>2408</v>
      </c>
    </row>
    <row r="480" spans="1:16" x14ac:dyDescent="0.3">
      <c r="A480" t="s">
        <v>2409</v>
      </c>
      <c r="C480" t="s">
        <v>1346</v>
      </c>
      <c r="D480" t="s">
        <v>408</v>
      </c>
      <c r="E480" t="s">
        <v>409</v>
      </c>
      <c r="G480" t="s">
        <v>20</v>
      </c>
      <c r="H480">
        <v>50000</v>
      </c>
      <c r="I480">
        <v>107.5</v>
      </c>
      <c r="J480">
        <v>49892.5</v>
      </c>
      <c r="O480" t="s">
        <v>412</v>
      </c>
      <c r="P480" t="s">
        <v>2410</v>
      </c>
    </row>
    <row r="481" spans="1:16" x14ac:dyDescent="0.3">
      <c r="A481" t="s">
        <v>2411</v>
      </c>
      <c r="C481" t="s">
        <v>1346</v>
      </c>
      <c r="D481" t="s">
        <v>1116</v>
      </c>
      <c r="E481" t="s">
        <v>1117</v>
      </c>
      <c r="F481" t="s">
        <v>1305</v>
      </c>
      <c r="G481" t="s">
        <v>20</v>
      </c>
      <c r="H481">
        <v>0</v>
      </c>
      <c r="I481">
        <v>0</v>
      </c>
      <c r="J481">
        <v>0</v>
      </c>
      <c r="O481" t="s">
        <v>21</v>
      </c>
      <c r="P481" t="s">
        <v>2412</v>
      </c>
    </row>
    <row r="482" spans="1:16" x14ac:dyDescent="0.3">
      <c r="A482" t="s">
        <v>2413</v>
      </c>
      <c r="C482" t="s">
        <v>1346</v>
      </c>
      <c r="D482" t="s">
        <v>408</v>
      </c>
      <c r="E482" t="s">
        <v>409</v>
      </c>
      <c r="G482" t="s">
        <v>20</v>
      </c>
      <c r="H482">
        <v>2100</v>
      </c>
      <c r="I482">
        <v>11.2875</v>
      </c>
      <c r="J482">
        <v>2088.7125000000001</v>
      </c>
      <c r="O482" t="s">
        <v>21</v>
      </c>
      <c r="P482" t="s">
        <v>2414</v>
      </c>
    </row>
    <row r="483" spans="1:16" x14ac:dyDescent="0.3">
      <c r="A483" t="s">
        <v>2415</v>
      </c>
      <c r="C483" t="s">
        <v>1346</v>
      </c>
      <c r="D483" t="s">
        <v>408</v>
      </c>
      <c r="E483" t="s">
        <v>409</v>
      </c>
      <c r="G483" t="s">
        <v>20</v>
      </c>
      <c r="H483">
        <v>2200</v>
      </c>
      <c r="I483">
        <v>11.824999999999999</v>
      </c>
      <c r="J483">
        <v>2188.1750000000002</v>
      </c>
      <c r="O483" t="s">
        <v>21</v>
      </c>
      <c r="P483" t="s">
        <v>2416</v>
      </c>
    </row>
    <row r="484" spans="1:16" x14ac:dyDescent="0.3">
      <c r="A484" t="s">
        <v>2417</v>
      </c>
      <c r="C484" t="s">
        <v>1346</v>
      </c>
      <c r="D484" t="s">
        <v>408</v>
      </c>
      <c r="E484" t="s">
        <v>409</v>
      </c>
      <c r="G484" t="s">
        <v>20</v>
      </c>
      <c r="H484">
        <v>5100</v>
      </c>
      <c r="I484">
        <v>27.412500000000001</v>
      </c>
      <c r="J484">
        <v>5072.5874999999996</v>
      </c>
      <c r="O484" t="s">
        <v>21</v>
      </c>
      <c r="P484" t="s">
        <v>2418</v>
      </c>
    </row>
    <row r="485" spans="1:16" x14ac:dyDescent="0.3">
      <c r="A485" t="s">
        <v>2419</v>
      </c>
      <c r="C485" t="s">
        <v>1346</v>
      </c>
      <c r="D485" t="s">
        <v>408</v>
      </c>
      <c r="E485" t="s">
        <v>409</v>
      </c>
      <c r="G485" t="s">
        <v>20</v>
      </c>
      <c r="H485">
        <v>5000</v>
      </c>
      <c r="I485" s="1" t="s">
        <v>1275</v>
      </c>
      <c r="J485">
        <v>4973.125</v>
      </c>
      <c r="O485" t="s">
        <v>412</v>
      </c>
      <c r="P485" t="s">
        <v>2420</v>
      </c>
    </row>
    <row r="486" spans="1:16" x14ac:dyDescent="0.3">
      <c r="A486" t="s">
        <v>2421</v>
      </c>
      <c r="C486" t="s">
        <v>1346</v>
      </c>
      <c r="D486" t="s">
        <v>408</v>
      </c>
      <c r="E486" t="s">
        <v>409</v>
      </c>
      <c r="G486" t="s">
        <v>20</v>
      </c>
      <c r="H486">
        <v>5000</v>
      </c>
      <c r="I486" s="1" t="s">
        <v>1275</v>
      </c>
      <c r="J486">
        <v>4973.125</v>
      </c>
      <c r="O486" t="s">
        <v>412</v>
      </c>
      <c r="P486" t="s">
        <v>2422</v>
      </c>
    </row>
    <row r="487" spans="1:16" x14ac:dyDescent="0.3">
      <c r="A487" t="s">
        <v>2423</v>
      </c>
      <c r="C487" t="s">
        <v>1346</v>
      </c>
      <c r="D487" t="s">
        <v>408</v>
      </c>
      <c r="E487" t="s">
        <v>409</v>
      </c>
      <c r="G487" t="s">
        <v>20</v>
      </c>
      <c r="H487">
        <v>4000</v>
      </c>
      <c r="I487">
        <v>21.5</v>
      </c>
      <c r="J487">
        <v>3978.5</v>
      </c>
      <c r="O487" t="s">
        <v>21</v>
      </c>
      <c r="P487" t="s">
        <v>2424</v>
      </c>
    </row>
    <row r="488" spans="1:16" x14ac:dyDescent="0.3">
      <c r="A488" t="s">
        <v>2425</v>
      </c>
      <c r="C488" t="s">
        <v>1346</v>
      </c>
      <c r="D488" t="s">
        <v>408</v>
      </c>
      <c r="E488" t="s">
        <v>409</v>
      </c>
      <c r="G488" t="s">
        <v>20</v>
      </c>
      <c r="H488">
        <v>5000</v>
      </c>
      <c r="I488" s="1" t="s">
        <v>1275</v>
      </c>
      <c r="J488">
        <v>4973.125</v>
      </c>
      <c r="O488" t="s">
        <v>412</v>
      </c>
      <c r="P488" t="s">
        <v>2426</v>
      </c>
    </row>
    <row r="489" spans="1:16" x14ac:dyDescent="0.3">
      <c r="A489" t="s">
        <v>2427</v>
      </c>
      <c r="C489" t="s">
        <v>1346</v>
      </c>
      <c r="D489" t="s">
        <v>408</v>
      </c>
      <c r="E489" t="s">
        <v>409</v>
      </c>
      <c r="G489" t="s">
        <v>20</v>
      </c>
      <c r="H489">
        <v>4000</v>
      </c>
      <c r="I489">
        <v>21.5</v>
      </c>
      <c r="J489">
        <v>3978.5</v>
      </c>
      <c r="O489" t="s">
        <v>412</v>
      </c>
      <c r="P489" t="s">
        <v>2428</v>
      </c>
    </row>
    <row r="490" spans="1:16" x14ac:dyDescent="0.3">
      <c r="A490" t="s">
        <v>2429</v>
      </c>
      <c r="C490" t="s">
        <v>1346</v>
      </c>
      <c r="D490" t="s">
        <v>408</v>
      </c>
      <c r="E490" t="s">
        <v>409</v>
      </c>
      <c r="G490" t="s">
        <v>20</v>
      </c>
      <c r="H490">
        <v>2100</v>
      </c>
      <c r="I490">
        <v>11.2875</v>
      </c>
      <c r="J490">
        <v>2088.7125000000001</v>
      </c>
      <c r="O490" t="s">
        <v>21</v>
      </c>
      <c r="P490" t="s">
        <v>2430</v>
      </c>
    </row>
    <row r="491" spans="1:16" x14ac:dyDescent="0.3">
      <c r="A491" t="s">
        <v>2431</v>
      </c>
      <c r="C491" t="s">
        <v>1346</v>
      </c>
      <c r="D491" t="s">
        <v>408</v>
      </c>
      <c r="E491" t="s">
        <v>409</v>
      </c>
      <c r="G491" t="s">
        <v>20</v>
      </c>
      <c r="H491">
        <v>20000</v>
      </c>
      <c r="I491" s="1" t="s">
        <v>2155</v>
      </c>
      <c r="J491">
        <v>19892.5</v>
      </c>
      <c r="O491" t="s">
        <v>412</v>
      </c>
      <c r="P491" t="s">
        <v>2432</v>
      </c>
    </row>
    <row r="492" spans="1:16" x14ac:dyDescent="0.3">
      <c r="A492" t="s">
        <v>2433</v>
      </c>
      <c r="C492" t="s">
        <v>1346</v>
      </c>
      <c r="D492" t="s">
        <v>408</v>
      </c>
      <c r="E492" t="s">
        <v>409</v>
      </c>
      <c r="G492" t="s">
        <v>20</v>
      </c>
      <c r="H492">
        <v>20000</v>
      </c>
      <c r="I492" s="1" t="s">
        <v>2155</v>
      </c>
      <c r="J492">
        <v>19892.5</v>
      </c>
      <c r="O492" t="s">
        <v>412</v>
      </c>
      <c r="P492" t="s">
        <v>2434</v>
      </c>
    </row>
    <row r="493" spans="1:16" x14ac:dyDescent="0.3">
      <c r="A493" t="s">
        <v>2435</v>
      </c>
      <c r="C493" t="s">
        <v>1346</v>
      </c>
      <c r="D493" t="s">
        <v>408</v>
      </c>
      <c r="E493" t="s">
        <v>409</v>
      </c>
      <c r="G493" t="s">
        <v>20</v>
      </c>
      <c r="H493">
        <v>20000</v>
      </c>
      <c r="I493" s="1" t="s">
        <v>2155</v>
      </c>
      <c r="J493">
        <v>19892.5</v>
      </c>
      <c r="O493" t="s">
        <v>412</v>
      </c>
      <c r="P493" t="s">
        <v>2436</v>
      </c>
    </row>
    <row r="494" spans="1:16" x14ac:dyDescent="0.3">
      <c r="A494" t="s">
        <v>2437</v>
      </c>
      <c r="C494" t="s">
        <v>1346</v>
      </c>
      <c r="D494" t="s">
        <v>408</v>
      </c>
      <c r="E494" t="s">
        <v>409</v>
      </c>
      <c r="G494" t="s">
        <v>20</v>
      </c>
      <c r="H494">
        <v>50000</v>
      </c>
      <c r="I494">
        <v>107.5</v>
      </c>
      <c r="J494">
        <v>49892.5</v>
      </c>
      <c r="O494" t="s">
        <v>412</v>
      </c>
      <c r="P494" t="s">
        <v>2438</v>
      </c>
    </row>
    <row r="495" spans="1:16" x14ac:dyDescent="0.3">
      <c r="A495" t="s">
        <v>2439</v>
      </c>
      <c r="C495" t="s">
        <v>1346</v>
      </c>
      <c r="D495" t="s">
        <v>408</v>
      </c>
      <c r="E495" t="s">
        <v>409</v>
      </c>
      <c r="G495" t="s">
        <v>20</v>
      </c>
      <c r="H495">
        <v>10200</v>
      </c>
      <c r="I495">
        <v>54.825000000000003</v>
      </c>
      <c r="J495">
        <v>10145.174999999999</v>
      </c>
      <c r="O495" t="s">
        <v>21</v>
      </c>
      <c r="P495" t="s">
        <v>2440</v>
      </c>
    </row>
    <row r="496" spans="1:16" x14ac:dyDescent="0.3">
      <c r="A496" t="s">
        <v>2441</v>
      </c>
      <c r="C496" t="s">
        <v>1346</v>
      </c>
      <c r="D496" t="s">
        <v>408</v>
      </c>
      <c r="E496" t="s">
        <v>409</v>
      </c>
      <c r="G496" t="s">
        <v>20</v>
      </c>
      <c r="H496">
        <v>8200</v>
      </c>
      <c r="I496">
        <v>44.075000000000003</v>
      </c>
      <c r="J496">
        <v>8155.9250000000002</v>
      </c>
      <c r="O496" t="s">
        <v>412</v>
      </c>
      <c r="P496" t="s">
        <v>2442</v>
      </c>
    </row>
    <row r="497" spans="1:16" x14ac:dyDescent="0.3">
      <c r="A497" t="s">
        <v>2443</v>
      </c>
      <c r="C497" t="s">
        <v>1346</v>
      </c>
      <c r="D497" t="s">
        <v>408</v>
      </c>
      <c r="E497" t="s">
        <v>409</v>
      </c>
      <c r="G497" t="s">
        <v>20</v>
      </c>
      <c r="H497">
        <v>5100</v>
      </c>
      <c r="I497">
        <v>27.412500000000001</v>
      </c>
      <c r="J497">
        <v>5072.5874999999996</v>
      </c>
      <c r="O497" t="s">
        <v>21</v>
      </c>
      <c r="P497" t="s">
        <v>2444</v>
      </c>
    </row>
    <row r="498" spans="1:16" x14ac:dyDescent="0.3">
      <c r="A498" t="s">
        <v>2445</v>
      </c>
      <c r="C498" t="s">
        <v>1346</v>
      </c>
      <c r="D498" t="s">
        <v>408</v>
      </c>
      <c r="E498" t="s">
        <v>409</v>
      </c>
      <c r="G498" t="s">
        <v>20</v>
      </c>
      <c r="H498">
        <v>1000</v>
      </c>
      <c r="I498">
        <v>5.375</v>
      </c>
      <c r="J498">
        <v>994.625</v>
      </c>
      <c r="O498" t="s">
        <v>21</v>
      </c>
      <c r="P498" t="s">
        <v>2446</v>
      </c>
    </row>
    <row r="499" spans="1:16" x14ac:dyDescent="0.3">
      <c r="A499" t="s">
        <v>2447</v>
      </c>
      <c r="C499" t="s">
        <v>1346</v>
      </c>
      <c r="D499" t="s">
        <v>1116</v>
      </c>
      <c r="E499" t="s">
        <v>1195</v>
      </c>
      <c r="F499" t="s">
        <v>1196</v>
      </c>
      <c r="G499" t="s">
        <v>20</v>
      </c>
      <c r="H499">
        <v>0</v>
      </c>
      <c r="I499">
        <v>0</v>
      </c>
      <c r="J499">
        <v>0</v>
      </c>
      <c r="O499" t="s">
        <v>21</v>
      </c>
      <c r="P499" t="s">
        <v>2448</v>
      </c>
    </row>
    <row r="500" spans="1:16" x14ac:dyDescent="0.3">
      <c r="A500" t="s">
        <v>2449</v>
      </c>
      <c r="B500" s="1" t="s">
        <v>2450</v>
      </c>
      <c r="C500" t="s">
        <v>1346</v>
      </c>
      <c r="D500" t="s">
        <v>29</v>
      </c>
      <c r="E500" t="s">
        <v>19</v>
      </c>
      <c r="F500" t="s">
        <v>2451</v>
      </c>
      <c r="G500" t="s">
        <v>20</v>
      </c>
      <c r="H500">
        <v>700</v>
      </c>
      <c r="I500">
        <v>32.25</v>
      </c>
      <c r="J500">
        <v>667.75</v>
      </c>
      <c r="L500">
        <v>12</v>
      </c>
      <c r="M500">
        <v>2.25</v>
      </c>
      <c r="N500">
        <v>0</v>
      </c>
      <c r="O500" t="s">
        <v>21</v>
      </c>
      <c r="P500" t="s">
        <v>2452</v>
      </c>
    </row>
    <row r="501" spans="1:16" x14ac:dyDescent="0.3">
      <c r="A501" t="s">
        <v>2453</v>
      </c>
      <c r="C501" t="s">
        <v>1346</v>
      </c>
      <c r="D501" t="s">
        <v>1116</v>
      </c>
      <c r="E501" t="s">
        <v>1117</v>
      </c>
      <c r="F501" t="s">
        <v>1196</v>
      </c>
      <c r="G501" t="s">
        <v>20</v>
      </c>
      <c r="H501">
        <v>0</v>
      </c>
      <c r="I501">
        <v>0</v>
      </c>
      <c r="J501">
        <v>0</v>
      </c>
      <c r="O501" t="s">
        <v>21</v>
      </c>
      <c r="P501" t="s">
        <v>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32E-12EA-4DB6-9449-A3365BE66AE1}">
  <dimension ref="A1:P30"/>
  <sheetViews>
    <sheetView workbookViewId="0">
      <selection activeCell="G14" sqref="G14"/>
    </sheetView>
  </sheetViews>
  <sheetFormatPr defaultColWidth="13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2455</v>
      </c>
      <c r="B2" s="1" t="s">
        <v>2456</v>
      </c>
      <c r="C2" t="s">
        <v>2457</v>
      </c>
      <c r="D2" t="s">
        <v>1203</v>
      </c>
      <c r="E2" t="s">
        <v>19</v>
      </c>
      <c r="G2" t="s">
        <v>20</v>
      </c>
      <c r="H2">
        <v>85600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2458</v>
      </c>
    </row>
    <row r="3" spans="1:16" x14ac:dyDescent="0.3">
      <c r="A3" t="s">
        <v>2459</v>
      </c>
      <c r="C3" t="s">
        <v>2457</v>
      </c>
      <c r="D3" t="s">
        <v>404</v>
      </c>
      <c r="E3" t="s">
        <v>19</v>
      </c>
      <c r="F3" t="s">
        <v>2460</v>
      </c>
      <c r="G3" t="s">
        <v>20</v>
      </c>
      <c r="H3">
        <v>19892</v>
      </c>
      <c r="I3">
        <v>0</v>
      </c>
      <c r="J3">
        <v>0</v>
      </c>
      <c r="O3" t="s">
        <v>21</v>
      </c>
      <c r="P3" t="s">
        <v>2461</v>
      </c>
    </row>
    <row r="4" spans="1:16" x14ac:dyDescent="0.3">
      <c r="A4" t="s">
        <v>2462</v>
      </c>
      <c r="C4" t="s">
        <v>2457</v>
      </c>
      <c r="D4" t="s">
        <v>408</v>
      </c>
      <c r="E4" t="s">
        <v>409</v>
      </c>
      <c r="G4" t="s">
        <v>20</v>
      </c>
      <c r="H4">
        <v>20000</v>
      </c>
      <c r="I4" s="1" t="s">
        <v>2155</v>
      </c>
      <c r="J4">
        <v>19892.5</v>
      </c>
      <c r="O4" t="s">
        <v>21</v>
      </c>
      <c r="P4" t="s">
        <v>2463</v>
      </c>
    </row>
    <row r="5" spans="1:16" x14ac:dyDescent="0.3">
      <c r="A5" t="s">
        <v>2464</v>
      </c>
      <c r="C5" t="s">
        <v>2457</v>
      </c>
      <c r="D5" t="s">
        <v>404</v>
      </c>
      <c r="E5" t="s">
        <v>19</v>
      </c>
      <c r="F5" t="s">
        <v>2465</v>
      </c>
      <c r="G5" t="s">
        <v>20</v>
      </c>
      <c r="H5">
        <v>36801</v>
      </c>
      <c r="I5">
        <v>0</v>
      </c>
      <c r="J5">
        <v>0</v>
      </c>
      <c r="O5" t="s">
        <v>21</v>
      </c>
      <c r="P5" t="s">
        <v>2466</v>
      </c>
    </row>
    <row r="6" spans="1:16" x14ac:dyDescent="0.3">
      <c r="A6" t="s">
        <v>2467</v>
      </c>
      <c r="C6" t="s">
        <v>2457</v>
      </c>
      <c r="D6" t="s">
        <v>408</v>
      </c>
      <c r="E6" t="s">
        <v>409</v>
      </c>
      <c r="G6" t="s">
        <v>20</v>
      </c>
      <c r="H6">
        <v>5000</v>
      </c>
      <c r="I6" s="1" t="s">
        <v>1275</v>
      </c>
      <c r="J6">
        <v>4973.125</v>
      </c>
      <c r="O6" t="s">
        <v>412</v>
      </c>
      <c r="P6" t="s">
        <v>2468</v>
      </c>
    </row>
    <row r="7" spans="1:16" x14ac:dyDescent="0.3">
      <c r="A7" t="s">
        <v>2469</v>
      </c>
      <c r="C7" t="s">
        <v>2457</v>
      </c>
      <c r="D7" t="s">
        <v>408</v>
      </c>
      <c r="E7" t="s">
        <v>409</v>
      </c>
      <c r="G7" t="s">
        <v>20</v>
      </c>
      <c r="H7">
        <v>2000</v>
      </c>
      <c r="I7">
        <v>10.75</v>
      </c>
      <c r="J7">
        <v>1989.25</v>
      </c>
      <c r="O7" t="s">
        <v>21</v>
      </c>
      <c r="P7" t="s">
        <v>2470</v>
      </c>
    </row>
    <row r="8" spans="1:16" x14ac:dyDescent="0.3">
      <c r="A8" t="s">
        <v>2471</v>
      </c>
      <c r="C8" t="s">
        <v>2457</v>
      </c>
      <c r="D8" t="s">
        <v>408</v>
      </c>
      <c r="E8" t="s">
        <v>409</v>
      </c>
      <c r="G8" t="s">
        <v>20</v>
      </c>
      <c r="H8">
        <v>5000</v>
      </c>
      <c r="I8" s="1" t="s">
        <v>1275</v>
      </c>
      <c r="J8">
        <v>4973.125</v>
      </c>
      <c r="O8" t="s">
        <v>412</v>
      </c>
      <c r="P8" t="s">
        <v>2472</v>
      </c>
    </row>
    <row r="9" spans="1:16" x14ac:dyDescent="0.3">
      <c r="A9" t="s">
        <v>2473</v>
      </c>
      <c r="C9" t="s">
        <v>2457</v>
      </c>
      <c r="D9" t="s">
        <v>408</v>
      </c>
      <c r="E9" t="s">
        <v>409</v>
      </c>
      <c r="G9" t="s">
        <v>20</v>
      </c>
      <c r="H9">
        <v>20000</v>
      </c>
      <c r="I9" s="1" t="s">
        <v>2155</v>
      </c>
      <c r="J9">
        <v>19892.5</v>
      </c>
      <c r="O9" t="s">
        <v>412</v>
      </c>
      <c r="P9" t="s">
        <v>2474</v>
      </c>
    </row>
    <row r="10" spans="1:16" x14ac:dyDescent="0.3">
      <c r="A10" t="s">
        <v>2475</v>
      </c>
      <c r="C10" t="s">
        <v>2457</v>
      </c>
      <c r="D10" t="s">
        <v>408</v>
      </c>
      <c r="E10" t="s">
        <v>409</v>
      </c>
      <c r="G10" t="s">
        <v>20</v>
      </c>
      <c r="H10">
        <v>5000</v>
      </c>
      <c r="I10" s="1" t="s">
        <v>1275</v>
      </c>
      <c r="J10">
        <v>4973.125</v>
      </c>
      <c r="O10" t="s">
        <v>412</v>
      </c>
      <c r="P10" t="s">
        <v>2476</v>
      </c>
    </row>
    <row r="11" spans="1:16" x14ac:dyDescent="0.3">
      <c r="A11" t="s">
        <v>2477</v>
      </c>
      <c r="C11" t="s">
        <v>2457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412</v>
      </c>
      <c r="P11" t="s">
        <v>2478</v>
      </c>
    </row>
    <row r="12" spans="1:16" x14ac:dyDescent="0.3">
      <c r="A12" t="s">
        <v>2479</v>
      </c>
      <c r="C12" t="s">
        <v>2457</v>
      </c>
      <c r="D12" t="s">
        <v>408</v>
      </c>
      <c r="E12" t="s">
        <v>409</v>
      </c>
      <c r="G12" t="s">
        <v>20</v>
      </c>
      <c r="H12">
        <v>20000</v>
      </c>
      <c r="I12" s="1" t="s">
        <v>2155</v>
      </c>
      <c r="J12">
        <v>19892.5</v>
      </c>
      <c r="O12" t="s">
        <v>412</v>
      </c>
      <c r="P12" t="s">
        <v>2480</v>
      </c>
    </row>
    <row r="13" spans="1:16" x14ac:dyDescent="0.3">
      <c r="A13" t="s">
        <v>2481</v>
      </c>
      <c r="C13" t="s">
        <v>2457</v>
      </c>
      <c r="D13" t="s">
        <v>408</v>
      </c>
      <c r="E13" t="s">
        <v>409</v>
      </c>
      <c r="G13" t="s">
        <v>20</v>
      </c>
      <c r="H13">
        <v>15000</v>
      </c>
      <c r="I13">
        <v>80.625</v>
      </c>
      <c r="J13">
        <v>14919.375</v>
      </c>
      <c r="O13" t="s">
        <v>21</v>
      </c>
      <c r="P13" t="s">
        <v>2482</v>
      </c>
    </row>
    <row r="14" spans="1:16" x14ac:dyDescent="0.3">
      <c r="A14" t="s">
        <v>2483</v>
      </c>
      <c r="C14" t="s">
        <v>2457</v>
      </c>
      <c r="D14" t="s">
        <v>408</v>
      </c>
      <c r="E14" t="s">
        <v>409</v>
      </c>
      <c r="G14" t="s">
        <v>20</v>
      </c>
      <c r="H14">
        <v>20000</v>
      </c>
      <c r="I14" s="1" t="s">
        <v>2155</v>
      </c>
      <c r="J14">
        <v>19892.5</v>
      </c>
      <c r="O14" t="s">
        <v>21</v>
      </c>
      <c r="P14" t="s">
        <v>2484</v>
      </c>
    </row>
    <row r="15" spans="1:16" x14ac:dyDescent="0.3">
      <c r="A15" t="s">
        <v>2485</v>
      </c>
      <c r="C15" t="s">
        <v>2457</v>
      </c>
      <c r="D15" t="s">
        <v>404</v>
      </c>
      <c r="E15" t="s">
        <v>19</v>
      </c>
      <c r="F15" t="s">
        <v>1234</v>
      </c>
      <c r="G15" t="s">
        <v>20</v>
      </c>
      <c r="H15">
        <v>28935</v>
      </c>
      <c r="I15">
        <v>0</v>
      </c>
      <c r="J15">
        <v>0</v>
      </c>
      <c r="O15" t="s">
        <v>21</v>
      </c>
      <c r="P15" t="s">
        <v>2486</v>
      </c>
    </row>
    <row r="16" spans="1:16" x14ac:dyDescent="0.3">
      <c r="A16" t="s">
        <v>2487</v>
      </c>
      <c r="B16" s="1" t="s">
        <v>2488</v>
      </c>
      <c r="C16" t="s">
        <v>2457</v>
      </c>
      <c r="D16" t="s">
        <v>29</v>
      </c>
      <c r="E16" t="s">
        <v>1217</v>
      </c>
      <c r="F16" t="s">
        <v>2489</v>
      </c>
      <c r="G16" t="s">
        <v>20</v>
      </c>
      <c r="H16">
        <v>9000</v>
      </c>
      <c r="I16">
        <v>32.25</v>
      </c>
      <c r="J16">
        <v>8967.75</v>
      </c>
      <c r="O16" t="s">
        <v>21</v>
      </c>
      <c r="P16" t="s">
        <v>2490</v>
      </c>
    </row>
    <row r="17" spans="1:16" x14ac:dyDescent="0.3">
      <c r="A17" t="s">
        <v>2491</v>
      </c>
      <c r="B17" s="1" t="s">
        <v>2492</v>
      </c>
      <c r="C17" t="s">
        <v>2457</v>
      </c>
      <c r="D17" t="s">
        <v>29</v>
      </c>
      <c r="E17" t="s">
        <v>1217</v>
      </c>
      <c r="F17" t="s">
        <v>2493</v>
      </c>
      <c r="G17" t="s">
        <v>20</v>
      </c>
      <c r="H17">
        <v>20000</v>
      </c>
      <c r="I17">
        <v>32.25</v>
      </c>
      <c r="J17">
        <v>19967.75</v>
      </c>
      <c r="O17" t="s">
        <v>21</v>
      </c>
      <c r="P17" t="s">
        <v>2494</v>
      </c>
    </row>
    <row r="18" spans="1:16" x14ac:dyDescent="0.3">
      <c r="A18" t="s">
        <v>2495</v>
      </c>
      <c r="B18" s="1" t="s">
        <v>2496</v>
      </c>
      <c r="C18" t="s">
        <v>2457</v>
      </c>
      <c r="D18" t="s">
        <v>1203</v>
      </c>
      <c r="E18" t="s">
        <v>19</v>
      </c>
      <c r="G18" t="s">
        <v>20</v>
      </c>
      <c r="H18">
        <v>31500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2497</v>
      </c>
    </row>
    <row r="19" spans="1:16" x14ac:dyDescent="0.3">
      <c r="A19" t="s">
        <v>2498</v>
      </c>
      <c r="C19" t="s">
        <v>2457</v>
      </c>
      <c r="D19" t="s">
        <v>404</v>
      </c>
      <c r="E19" t="s">
        <v>19</v>
      </c>
      <c r="F19" t="s">
        <v>1399</v>
      </c>
      <c r="G19" t="s">
        <v>20</v>
      </c>
      <c r="H19">
        <v>30435</v>
      </c>
      <c r="I19">
        <v>0</v>
      </c>
      <c r="J19">
        <v>0</v>
      </c>
      <c r="O19" t="s">
        <v>21</v>
      </c>
      <c r="P19" t="s">
        <v>2499</v>
      </c>
    </row>
    <row r="20" spans="1:16" x14ac:dyDescent="0.3">
      <c r="A20" t="s">
        <v>2500</v>
      </c>
      <c r="B20" s="1" t="s">
        <v>2501</v>
      </c>
      <c r="C20" t="s">
        <v>2457</v>
      </c>
      <c r="D20" t="s">
        <v>29</v>
      </c>
      <c r="E20" t="s">
        <v>1217</v>
      </c>
      <c r="F20" t="s">
        <v>2502</v>
      </c>
      <c r="G20" t="s">
        <v>20</v>
      </c>
      <c r="H20">
        <v>30000</v>
      </c>
      <c r="I20">
        <v>32.25</v>
      </c>
      <c r="J20">
        <v>29967.75</v>
      </c>
      <c r="O20" t="s">
        <v>21</v>
      </c>
      <c r="P20" t="s">
        <v>2503</v>
      </c>
    </row>
    <row r="21" spans="1:16" x14ac:dyDescent="0.3">
      <c r="A21" t="s">
        <v>2504</v>
      </c>
      <c r="B21" s="1" t="s">
        <v>2505</v>
      </c>
      <c r="C21" t="s">
        <v>2457</v>
      </c>
      <c r="D21" t="s">
        <v>29</v>
      </c>
      <c r="E21" t="s">
        <v>1217</v>
      </c>
      <c r="F21" t="s">
        <v>2506</v>
      </c>
      <c r="G21" t="s">
        <v>20</v>
      </c>
      <c r="H21">
        <v>500</v>
      </c>
      <c r="I21">
        <v>32.25</v>
      </c>
      <c r="J21">
        <v>467.75</v>
      </c>
      <c r="O21" t="s">
        <v>21</v>
      </c>
      <c r="P21" t="s">
        <v>2507</v>
      </c>
    </row>
    <row r="22" spans="1:16" x14ac:dyDescent="0.3">
      <c r="A22" t="s">
        <v>2508</v>
      </c>
      <c r="C22" t="s">
        <v>2457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2509</v>
      </c>
    </row>
    <row r="23" spans="1:16" x14ac:dyDescent="0.3">
      <c r="A23" t="s">
        <v>2510</v>
      </c>
      <c r="C23" t="s">
        <v>2457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412</v>
      </c>
      <c r="P23" t="s">
        <v>2511</v>
      </c>
    </row>
    <row r="24" spans="1:16" x14ac:dyDescent="0.3">
      <c r="A24" t="s">
        <v>2512</v>
      </c>
      <c r="C24" t="s">
        <v>2457</v>
      </c>
      <c r="D24" t="s">
        <v>1116</v>
      </c>
      <c r="E24" t="s">
        <v>1117</v>
      </c>
      <c r="F24" t="s">
        <v>1118</v>
      </c>
      <c r="G24" t="s">
        <v>20</v>
      </c>
      <c r="H24">
        <v>0</v>
      </c>
      <c r="I24">
        <v>0</v>
      </c>
      <c r="J24">
        <v>0</v>
      </c>
      <c r="O24" t="s">
        <v>21</v>
      </c>
      <c r="P24" t="s">
        <v>2513</v>
      </c>
    </row>
    <row r="25" spans="1:16" x14ac:dyDescent="0.3">
      <c r="A25" t="s">
        <v>2514</v>
      </c>
      <c r="C25" t="s">
        <v>2457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2515</v>
      </c>
    </row>
    <row r="26" spans="1:16" x14ac:dyDescent="0.3">
      <c r="A26" t="s">
        <v>2516</v>
      </c>
      <c r="C26" t="s">
        <v>2457</v>
      </c>
      <c r="D26" t="s">
        <v>18</v>
      </c>
      <c r="E26" t="s">
        <v>19</v>
      </c>
      <c r="G26" t="s">
        <v>20</v>
      </c>
      <c r="H26">
        <v>700</v>
      </c>
      <c r="I26">
        <v>0</v>
      </c>
      <c r="J26">
        <v>700</v>
      </c>
      <c r="O26" t="s">
        <v>21</v>
      </c>
      <c r="P26" t="s">
        <v>2517</v>
      </c>
    </row>
    <row r="27" spans="1:16" x14ac:dyDescent="0.3">
      <c r="A27" t="s">
        <v>2518</v>
      </c>
      <c r="C27" t="s">
        <v>2457</v>
      </c>
      <c r="D27" t="s">
        <v>18</v>
      </c>
      <c r="E27" t="s">
        <v>19</v>
      </c>
      <c r="G27" t="s">
        <v>20</v>
      </c>
      <c r="H27">
        <v>700</v>
      </c>
      <c r="I27">
        <v>0</v>
      </c>
      <c r="J27">
        <v>700</v>
      </c>
      <c r="O27" t="s">
        <v>21</v>
      </c>
      <c r="P27" t="s">
        <v>2519</v>
      </c>
    </row>
    <row r="28" spans="1:16" x14ac:dyDescent="0.3">
      <c r="A28" t="s">
        <v>2520</v>
      </c>
      <c r="C28" t="s">
        <v>2457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2521</v>
      </c>
    </row>
    <row r="29" spans="1:16" x14ac:dyDescent="0.3">
      <c r="A29" t="s">
        <v>2522</v>
      </c>
      <c r="C29" t="s">
        <v>2457</v>
      </c>
      <c r="D29" t="s">
        <v>1116</v>
      </c>
      <c r="E29" t="s">
        <v>1195</v>
      </c>
      <c r="F29" t="s">
        <v>1196</v>
      </c>
      <c r="G29" t="s">
        <v>20</v>
      </c>
      <c r="H29">
        <v>0</v>
      </c>
      <c r="I29">
        <v>0</v>
      </c>
      <c r="J29">
        <v>0</v>
      </c>
      <c r="O29" t="s">
        <v>21</v>
      </c>
      <c r="P29" t="s">
        <v>2523</v>
      </c>
    </row>
    <row r="30" spans="1:16" x14ac:dyDescent="0.3">
      <c r="A30" t="s">
        <v>2524</v>
      </c>
      <c r="B30" s="1" t="s">
        <v>2525</v>
      </c>
      <c r="C30" t="s">
        <v>2457</v>
      </c>
      <c r="D30" t="s">
        <v>29</v>
      </c>
      <c r="E30" t="s">
        <v>19</v>
      </c>
      <c r="F30" t="s">
        <v>2526</v>
      </c>
      <c r="G30" t="s">
        <v>20</v>
      </c>
      <c r="H30">
        <v>1000</v>
      </c>
      <c r="I30">
        <v>32.25</v>
      </c>
      <c r="J30">
        <v>967.75</v>
      </c>
      <c r="L30">
        <v>12</v>
      </c>
      <c r="M30">
        <v>2.25</v>
      </c>
      <c r="N30">
        <v>0</v>
      </c>
      <c r="O30" t="s">
        <v>21</v>
      </c>
      <c r="P30" t="s">
        <v>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A9C-79F3-49AF-A991-D205A50B770A}">
  <dimension ref="A1:P89"/>
  <sheetViews>
    <sheetView workbookViewId="0">
      <selection activeCell="H12" sqref="H12"/>
    </sheetView>
  </sheetViews>
  <sheetFormatPr defaultColWidth="14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2528</v>
      </c>
      <c r="B2" s="1" t="s">
        <v>2529</v>
      </c>
      <c r="C2" t="s">
        <v>2530</v>
      </c>
      <c r="D2" t="s">
        <v>1203</v>
      </c>
      <c r="E2" t="s">
        <v>19</v>
      </c>
      <c r="G2" t="s">
        <v>20</v>
      </c>
      <c r="H2">
        <v>54000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2531</v>
      </c>
    </row>
    <row r="3" spans="1:16" x14ac:dyDescent="0.3">
      <c r="A3" t="s">
        <v>2532</v>
      </c>
      <c r="C3" t="s">
        <v>2530</v>
      </c>
      <c r="D3" t="s">
        <v>404</v>
      </c>
      <c r="E3" t="s">
        <v>19</v>
      </c>
      <c r="F3" t="s">
        <v>1234</v>
      </c>
      <c r="G3" t="s">
        <v>20</v>
      </c>
      <c r="H3">
        <v>15217</v>
      </c>
      <c r="I3">
        <v>0</v>
      </c>
      <c r="J3">
        <v>0</v>
      </c>
      <c r="O3" t="s">
        <v>21</v>
      </c>
      <c r="P3" t="s">
        <v>2533</v>
      </c>
    </row>
    <row r="4" spans="1:16" x14ac:dyDescent="0.3">
      <c r="A4" t="s">
        <v>2534</v>
      </c>
      <c r="C4" t="s">
        <v>2530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2535</v>
      </c>
    </row>
    <row r="5" spans="1:16" x14ac:dyDescent="0.3">
      <c r="A5" t="s">
        <v>2536</v>
      </c>
      <c r="C5" t="s">
        <v>2530</v>
      </c>
      <c r="D5" t="s">
        <v>408</v>
      </c>
      <c r="E5" t="s">
        <v>409</v>
      </c>
      <c r="G5" t="s">
        <v>20</v>
      </c>
      <c r="H5">
        <v>3100</v>
      </c>
      <c r="I5">
        <v>16.662500000000001</v>
      </c>
      <c r="J5">
        <v>3083.3375000000001</v>
      </c>
      <c r="O5" t="s">
        <v>21</v>
      </c>
      <c r="P5" t="s">
        <v>2537</v>
      </c>
    </row>
    <row r="6" spans="1:16" x14ac:dyDescent="0.3">
      <c r="A6" t="s">
        <v>2538</v>
      </c>
      <c r="C6" t="s">
        <v>2530</v>
      </c>
      <c r="D6" t="s">
        <v>408</v>
      </c>
      <c r="E6" t="s">
        <v>409</v>
      </c>
      <c r="G6" t="s">
        <v>20</v>
      </c>
      <c r="H6">
        <v>2000</v>
      </c>
      <c r="I6">
        <v>10.75</v>
      </c>
      <c r="J6">
        <v>1989.25</v>
      </c>
      <c r="O6" t="s">
        <v>21</v>
      </c>
      <c r="P6" t="s">
        <v>2539</v>
      </c>
    </row>
    <row r="7" spans="1:16" x14ac:dyDescent="0.3">
      <c r="A7" t="s">
        <v>2540</v>
      </c>
      <c r="C7" t="s">
        <v>2530</v>
      </c>
      <c r="D7" t="s">
        <v>404</v>
      </c>
      <c r="E7" t="s">
        <v>19</v>
      </c>
      <c r="F7" t="s">
        <v>2541</v>
      </c>
      <c r="G7" t="s">
        <v>20</v>
      </c>
      <c r="H7">
        <v>39003</v>
      </c>
      <c r="I7">
        <v>0</v>
      </c>
      <c r="J7">
        <v>0</v>
      </c>
      <c r="O7" t="s">
        <v>21</v>
      </c>
      <c r="P7" t="s">
        <v>2542</v>
      </c>
    </row>
    <row r="8" spans="1:16" x14ac:dyDescent="0.3">
      <c r="A8" t="s">
        <v>2543</v>
      </c>
      <c r="B8" s="1" t="s">
        <v>2544</v>
      </c>
      <c r="C8" t="s">
        <v>2530</v>
      </c>
      <c r="D8" t="s">
        <v>29</v>
      </c>
      <c r="E8" t="s">
        <v>1217</v>
      </c>
      <c r="F8" t="s">
        <v>2545</v>
      </c>
      <c r="G8" t="s">
        <v>20</v>
      </c>
      <c r="H8">
        <v>19100</v>
      </c>
      <c r="I8">
        <v>32.25</v>
      </c>
      <c r="J8">
        <v>19067.75</v>
      </c>
      <c r="O8" t="s">
        <v>21</v>
      </c>
      <c r="P8" t="s">
        <v>2546</v>
      </c>
    </row>
    <row r="9" spans="1:16" x14ac:dyDescent="0.3">
      <c r="A9" t="s">
        <v>2547</v>
      </c>
      <c r="B9" s="1" t="s">
        <v>2548</v>
      </c>
      <c r="C9" t="s">
        <v>2530</v>
      </c>
      <c r="D9" t="s">
        <v>29</v>
      </c>
      <c r="E9" t="s">
        <v>1217</v>
      </c>
      <c r="F9" t="s">
        <v>2549</v>
      </c>
      <c r="G9" t="s">
        <v>20</v>
      </c>
      <c r="H9">
        <v>15000</v>
      </c>
      <c r="I9">
        <v>32.25</v>
      </c>
      <c r="J9">
        <v>14967.75</v>
      </c>
      <c r="O9" t="s">
        <v>21</v>
      </c>
      <c r="P9" t="s">
        <v>2550</v>
      </c>
    </row>
    <row r="10" spans="1:16" x14ac:dyDescent="0.3">
      <c r="A10" t="s">
        <v>2551</v>
      </c>
      <c r="B10" s="1" t="s">
        <v>2552</v>
      </c>
      <c r="C10" t="s">
        <v>2530</v>
      </c>
      <c r="D10" t="s">
        <v>29</v>
      </c>
      <c r="E10" t="s">
        <v>1217</v>
      </c>
      <c r="F10" t="s">
        <v>2553</v>
      </c>
      <c r="G10" t="s">
        <v>20</v>
      </c>
      <c r="H10">
        <v>5000</v>
      </c>
      <c r="I10">
        <v>32.25</v>
      </c>
      <c r="J10">
        <v>4967.75</v>
      </c>
      <c r="O10" t="s">
        <v>21</v>
      </c>
      <c r="P10" t="s">
        <v>2554</v>
      </c>
    </row>
    <row r="11" spans="1:16" x14ac:dyDescent="0.3">
      <c r="A11" t="s">
        <v>2555</v>
      </c>
      <c r="B11" s="1" t="s">
        <v>2556</v>
      </c>
      <c r="C11" t="s">
        <v>2530</v>
      </c>
      <c r="D11" t="s">
        <v>1203</v>
      </c>
      <c r="E11" t="s">
        <v>19</v>
      </c>
      <c r="G11" t="s">
        <v>20</v>
      </c>
      <c r="H11">
        <v>30500</v>
      </c>
      <c r="I11">
        <v>32.25</v>
      </c>
      <c r="J11">
        <v>0</v>
      </c>
      <c r="L11">
        <v>12</v>
      </c>
      <c r="M11">
        <v>2.25</v>
      </c>
      <c r="N11">
        <v>0</v>
      </c>
      <c r="O11" t="s">
        <v>21</v>
      </c>
      <c r="P11" t="s">
        <v>2557</v>
      </c>
    </row>
    <row r="12" spans="1:16" x14ac:dyDescent="0.3">
      <c r="A12" t="s">
        <v>2558</v>
      </c>
      <c r="C12" t="s">
        <v>2530</v>
      </c>
      <c r="D12" t="s">
        <v>404</v>
      </c>
      <c r="E12" t="s">
        <v>19</v>
      </c>
      <c r="F12" t="s">
        <v>2559</v>
      </c>
      <c r="G12" t="s">
        <v>20</v>
      </c>
      <c r="H12">
        <v>30492</v>
      </c>
      <c r="I12">
        <v>0</v>
      </c>
      <c r="J12">
        <v>0</v>
      </c>
      <c r="O12" t="s">
        <v>21</v>
      </c>
      <c r="P12" t="s">
        <v>2560</v>
      </c>
    </row>
    <row r="13" spans="1:16" x14ac:dyDescent="0.3">
      <c r="A13" t="s">
        <v>2561</v>
      </c>
      <c r="C13" t="s">
        <v>2530</v>
      </c>
      <c r="D13" t="s">
        <v>408</v>
      </c>
      <c r="E13" t="s">
        <v>409</v>
      </c>
      <c r="G13" t="s">
        <v>20</v>
      </c>
      <c r="H13">
        <v>30600</v>
      </c>
      <c r="I13">
        <v>107.5</v>
      </c>
      <c r="J13">
        <v>30492.5</v>
      </c>
      <c r="O13" t="s">
        <v>21</v>
      </c>
      <c r="P13" t="s">
        <v>2562</v>
      </c>
    </row>
    <row r="14" spans="1:16" x14ac:dyDescent="0.3">
      <c r="A14" t="s">
        <v>2563</v>
      </c>
      <c r="C14" t="s">
        <v>2530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412</v>
      </c>
      <c r="P14" t="s">
        <v>2564</v>
      </c>
    </row>
    <row r="15" spans="1:16" x14ac:dyDescent="0.3">
      <c r="A15" t="s">
        <v>2565</v>
      </c>
      <c r="C15" t="s">
        <v>2530</v>
      </c>
      <c r="D15" t="s">
        <v>408</v>
      </c>
      <c r="E15" t="s">
        <v>409</v>
      </c>
      <c r="G15" t="s">
        <v>20</v>
      </c>
      <c r="H15">
        <v>2000</v>
      </c>
      <c r="I15">
        <v>10.75</v>
      </c>
      <c r="J15">
        <v>1989.25</v>
      </c>
      <c r="O15" t="s">
        <v>412</v>
      </c>
      <c r="P15" t="s">
        <v>2566</v>
      </c>
    </row>
    <row r="16" spans="1:16" x14ac:dyDescent="0.3">
      <c r="A16" t="s">
        <v>2567</v>
      </c>
      <c r="B16" s="1" t="s">
        <v>2568</v>
      </c>
      <c r="C16" t="s">
        <v>2530</v>
      </c>
      <c r="D16" t="s">
        <v>1203</v>
      </c>
      <c r="E16" t="s">
        <v>19</v>
      </c>
      <c r="G16" t="s">
        <v>20</v>
      </c>
      <c r="H16">
        <v>20200</v>
      </c>
      <c r="I16">
        <v>25</v>
      </c>
      <c r="J16">
        <v>0</v>
      </c>
      <c r="O16" t="s">
        <v>21</v>
      </c>
      <c r="P16" t="s">
        <v>2569</v>
      </c>
    </row>
    <row r="17" spans="1:16" x14ac:dyDescent="0.3">
      <c r="A17" t="s">
        <v>2570</v>
      </c>
      <c r="C17" t="s">
        <v>2530</v>
      </c>
      <c r="D17" t="s">
        <v>404</v>
      </c>
      <c r="E17" t="s">
        <v>19</v>
      </c>
      <c r="F17" t="s">
        <v>796</v>
      </c>
      <c r="G17" t="s">
        <v>20</v>
      </c>
      <c r="H17">
        <v>20192</v>
      </c>
      <c r="I17">
        <v>0</v>
      </c>
      <c r="J17">
        <v>0</v>
      </c>
      <c r="O17" t="s">
        <v>21</v>
      </c>
      <c r="P17" t="s">
        <v>2571</v>
      </c>
    </row>
    <row r="18" spans="1:16" x14ac:dyDescent="0.3">
      <c r="A18" t="s">
        <v>2572</v>
      </c>
      <c r="C18" t="s">
        <v>2530</v>
      </c>
      <c r="D18" t="s">
        <v>408</v>
      </c>
      <c r="E18" t="s">
        <v>409</v>
      </c>
      <c r="G18" t="s">
        <v>20</v>
      </c>
      <c r="H18">
        <v>20300</v>
      </c>
      <c r="I18">
        <v>107.5</v>
      </c>
      <c r="J18">
        <v>20192.5</v>
      </c>
      <c r="O18" t="s">
        <v>21</v>
      </c>
      <c r="P18" t="s">
        <v>2573</v>
      </c>
    </row>
    <row r="19" spans="1:16" x14ac:dyDescent="0.3">
      <c r="A19" t="s">
        <v>2574</v>
      </c>
      <c r="B19" s="1" t="s">
        <v>2575</v>
      </c>
      <c r="C19" t="s">
        <v>2530</v>
      </c>
      <c r="D19" t="s">
        <v>1203</v>
      </c>
      <c r="E19" t="s">
        <v>19</v>
      </c>
      <c r="G19" t="s">
        <v>20</v>
      </c>
      <c r="H19">
        <v>2600</v>
      </c>
      <c r="I19">
        <v>25</v>
      </c>
      <c r="J19">
        <v>0</v>
      </c>
      <c r="O19" t="s">
        <v>21</v>
      </c>
      <c r="P19" t="s">
        <v>2576</v>
      </c>
    </row>
    <row r="20" spans="1:16" x14ac:dyDescent="0.3">
      <c r="A20" t="s">
        <v>2577</v>
      </c>
      <c r="C20" t="s">
        <v>2530</v>
      </c>
      <c r="D20" t="s">
        <v>404</v>
      </c>
      <c r="E20" t="s">
        <v>19</v>
      </c>
      <c r="F20" t="s">
        <v>822</v>
      </c>
      <c r="G20" t="s">
        <v>20</v>
      </c>
      <c r="H20">
        <v>2088</v>
      </c>
      <c r="I20">
        <v>0</v>
      </c>
      <c r="J20">
        <v>0</v>
      </c>
      <c r="O20" t="s">
        <v>21</v>
      </c>
      <c r="P20" t="s">
        <v>2578</v>
      </c>
    </row>
    <row r="21" spans="1:16" x14ac:dyDescent="0.3">
      <c r="A21" t="s">
        <v>2579</v>
      </c>
      <c r="C21" t="s">
        <v>2530</v>
      </c>
      <c r="D21" t="s">
        <v>29</v>
      </c>
      <c r="E21" t="s">
        <v>409</v>
      </c>
      <c r="G21" t="s">
        <v>20</v>
      </c>
      <c r="H21">
        <v>2100</v>
      </c>
      <c r="I21">
        <v>11.2875</v>
      </c>
      <c r="J21">
        <v>2088.7125000000001</v>
      </c>
      <c r="O21" t="s">
        <v>21</v>
      </c>
      <c r="P21" t="s">
        <v>2580</v>
      </c>
    </row>
    <row r="22" spans="1:16" x14ac:dyDescent="0.3">
      <c r="A22" t="s">
        <v>2581</v>
      </c>
      <c r="B22" s="1" t="s">
        <v>2582</v>
      </c>
      <c r="C22" t="s">
        <v>2530</v>
      </c>
      <c r="D22" t="s">
        <v>1203</v>
      </c>
      <c r="E22" t="s">
        <v>19</v>
      </c>
      <c r="G22" t="s">
        <v>20</v>
      </c>
      <c r="H22">
        <v>108000</v>
      </c>
      <c r="I22">
        <v>25</v>
      </c>
      <c r="J22">
        <v>0</v>
      </c>
      <c r="O22" t="s">
        <v>21</v>
      </c>
      <c r="P22" t="s">
        <v>2583</v>
      </c>
    </row>
    <row r="23" spans="1:16" x14ac:dyDescent="0.3">
      <c r="A23" t="s">
        <v>2584</v>
      </c>
      <c r="C23" t="s">
        <v>2530</v>
      </c>
      <c r="D23" t="s">
        <v>404</v>
      </c>
      <c r="E23" t="s">
        <v>19</v>
      </c>
      <c r="F23" t="s">
        <v>833</v>
      </c>
      <c r="G23" t="s">
        <v>20</v>
      </c>
      <c r="H23">
        <v>108524</v>
      </c>
      <c r="I23">
        <v>0</v>
      </c>
      <c r="J23">
        <v>0</v>
      </c>
      <c r="O23" t="s">
        <v>21</v>
      </c>
      <c r="P23" t="s">
        <v>2585</v>
      </c>
    </row>
    <row r="24" spans="1:16" x14ac:dyDescent="0.3">
      <c r="A24" t="s">
        <v>2586</v>
      </c>
      <c r="C24" t="s">
        <v>2530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2587</v>
      </c>
    </row>
    <row r="25" spans="1:16" x14ac:dyDescent="0.3">
      <c r="A25" t="s">
        <v>2588</v>
      </c>
      <c r="C25" t="s">
        <v>2530</v>
      </c>
      <c r="D25" t="s">
        <v>29</v>
      </c>
      <c r="E25" t="s">
        <v>409</v>
      </c>
      <c r="G25" t="s">
        <v>20</v>
      </c>
      <c r="H25">
        <v>20000</v>
      </c>
      <c r="I25" s="1" t="s">
        <v>2155</v>
      </c>
      <c r="J25">
        <v>19892.5</v>
      </c>
      <c r="O25" t="s">
        <v>21</v>
      </c>
      <c r="P25" t="s">
        <v>2589</v>
      </c>
    </row>
    <row r="26" spans="1:16" x14ac:dyDescent="0.3">
      <c r="A26" t="s">
        <v>2590</v>
      </c>
      <c r="C26" t="s">
        <v>2530</v>
      </c>
      <c r="D26" t="s">
        <v>29</v>
      </c>
      <c r="E26" t="s">
        <v>409</v>
      </c>
      <c r="G26" t="s">
        <v>20</v>
      </c>
      <c r="H26">
        <v>5100</v>
      </c>
      <c r="I26">
        <v>27.412500000000001</v>
      </c>
      <c r="J26">
        <v>5072.5874999999996</v>
      </c>
      <c r="O26" t="s">
        <v>21</v>
      </c>
      <c r="P26" t="s">
        <v>2591</v>
      </c>
    </row>
    <row r="27" spans="1:16" x14ac:dyDescent="0.3">
      <c r="A27" t="s">
        <v>2592</v>
      </c>
      <c r="C27" t="s">
        <v>2530</v>
      </c>
      <c r="D27" t="s">
        <v>29</v>
      </c>
      <c r="E27" t="s">
        <v>409</v>
      </c>
      <c r="G27" t="s">
        <v>20</v>
      </c>
      <c r="H27">
        <v>10200</v>
      </c>
      <c r="I27">
        <v>54.825000000000003</v>
      </c>
      <c r="J27">
        <v>10145.174999999999</v>
      </c>
      <c r="O27" t="s">
        <v>21</v>
      </c>
      <c r="P27" t="s">
        <v>2593</v>
      </c>
    </row>
    <row r="28" spans="1:16" x14ac:dyDescent="0.3">
      <c r="A28" t="s">
        <v>2594</v>
      </c>
      <c r="C28" t="s">
        <v>2530</v>
      </c>
      <c r="D28" t="s">
        <v>29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21</v>
      </c>
      <c r="P28" t="s">
        <v>2595</v>
      </c>
    </row>
    <row r="29" spans="1:16" x14ac:dyDescent="0.3">
      <c r="A29" t="s">
        <v>2596</v>
      </c>
      <c r="C29" t="s">
        <v>2530</v>
      </c>
      <c r="D29" t="s">
        <v>29</v>
      </c>
      <c r="E29" t="s">
        <v>409</v>
      </c>
      <c r="G29" t="s">
        <v>20</v>
      </c>
      <c r="H29">
        <v>15300</v>
      </c>
      <c r="I29">
        <v>82.237499999999997</v>
      </c>
      <c r="J29">
        <v>15217.762500000001</v>
      </c>
      <c r="O29" t="s">
        <v>21</v>
      </c>
      <c r="P29" t="s">
        <v>2597</v>
      </c>
    </row>
    <row r="30" spans="1:16" x14ac:dyDescent="0.3">
      <c r="A30" t="s">
        <v>2598</v>
      </c>
      <c r="C30" t="s">
        <v>2530</v>
      </c>
      <c r="D30" t="s">
        <v>29</v>
      </c>
      <c r="E30" t="s">
        <v>409</v>
      </c>
      <c r="G30" t="s">
        <v>20</v>
      </c>
      <c r="H30">
        <v>22000</v>
      </c>
      <c r="I30">
        <v>107.5</v>
      </c>
      <c r="J30">
        <v>21892.5</v>
      </c>
      <c r="O30" t="s">
        <v>21</v>
      </c>
      <c r="P30" t="s">
        <v>2599</v>
      </c>
    </row>
    <row r="31" spans="1:16" x14ac:dyDescent="0.3">
      <c r="A31" t="s">
        <v>2600</v>
      </c>
      <c r="C31" t="s">
        <v>2530</v>
      </c>
      <c r="D31" t="s">
        <v>29</v>
      </c>
      <c r="E31" t="s">
        <v>409</v>
      </c>
      <c r="G31" t="s">
        <v>20</v>
      </c>
      <c r="H31">
        <v>2100</v>
      </c>
      <c r="I31">
        <v>11.2875</v>
      </c>
      <c r="J31">
        <v>2088.7125000000001</v>
      </c>
      <c r="O31" t="s">
        <v>21</v>
      </c>
      <c r="P31" t="s">
        <v>2601</v>
      </c>
    </row>
    <row r="32" spans="1:16" x14ac:dyDescent="0.3">
      <c r="A32" t="s">
        <v>2602</v>
      </c>
      <c r="C32" t="s">
        <v>2530</v>
      </c>
      <c r="D32" t="s">
        <v>29</v>
      </c>
      <c r="E32" t="s">
        <v>409</v>
      </c>
      <c r="G32" t="s">
        <v>20</v>
      </c>
      <c r="H32">
        <v>19300</v>
      </c>
      <c r="I32">
        <v>103.7375</v>
      </c>
      <c r="J32">
        <v>19196.262500000001</v>
      </c>
      <c r="O32" t="s">
        <v>21</v>
      </c>
      <c r="P32" t="s">
        <v>2603</v>
      </c>
    </row>
    <row r="33" spans="1:16" x14ac:dyDescent="0.3">
      <c r="A33" t="s">
        <v>2604</v>
      </c>
      <c r="C33" t="s">
        <v>2530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2605</v>
      </c>
    </row>
    <row r="34" spans="1:16" x14ac:dyDescent="0.3">
      <c r="A34" t="s">
        <v>2606</v>
      </c>
      <c r="C34" t="s">
        <v>2530</v>
      </c>
      <c r="D34" t="s">
        <v>408</v>
      </c>
      <c r="E34" t="s">
        <v>409</v>
      </c>
      <c r="G34" t="s">
        <v>20</v>
      </c>
      <c r="H34">
        <v>50300</v>
      </c>
      <c r="I34">
        <v>107.5</v>
      </c>
      <c r="J34">
        <v>50192.5</v>
      </c>
      <c r="O34" t="s">
        <v>412</v>
      </c>
      <c r="P34" t="s">
        <v>2607</v>
      </c>
    </row>
    <row r="35" spans="1:16" x14ac:dyDescent="0.3">
      <c r="A35" t="s">
        <v>2608</v>
      </c>
      <c r="B35" s="1" t="s">
        <v>2609</v>
      </c>
      <c r="C35" t="s">
        <v>2530</v>
      </c>
      <c r="D35" t="s">
        <v>1203</v>
      </c>
      <c r="E35" t="s">
        <v>19</v>
      </c>
      <c r="G35" t="s">
        <v>20</v>
      </c>
      <c r="H35">
        <v>16100</v>
      </c>
      <c r="I35">
        <v>25</v>
      </c>
      <c r="J35">
        <v>0</v>
      </c>
      <c r="O35" t="s">
        <v>21</v>
      </c>
      <c r="P35" t="s">
        <v>2610</v>
      </c>
    </row>
    <row r="36" spans="1:16" x14ac:dyDescent="0.3">
      <c r="A36" t="s">
        <v>2611</v>
      </c>
      <c r="B36" t="s">
        <v>2611</v>
      </c>
      <c r="C36" t="s">
        <v>2530</v>
      </c>
      <c r="D36" t="s">
        <v>1203</v>
      </c>
      <c r="E36" t="s">
        <v>19</v>
      </c>
      <c r="G36" t="s">
        <v>20</v>
      </c>
      <c r="H36">
        <v>16200</v>
      </c>
      <c r="I36">
        <v>25</v>
      </c>
      <c r="J36">
        <v>0</v>
      </c>
      <c r="O36" t="s">
        <v>412</v>
      </c>
      <c r="P36" t="s">
        <v>2612</v>
      </c>
    </row>
    <row r="37" spans="1:16" x14ac:dyDescent="0.3">
      <c r="A37" t="s">
        <v>2613</v>
      </c>
      <c r="C37" t="s">
        <v>2530</v>
      </c>
      <c r="D37" t="s">
        <v>404</v>
      </c>
      <c r="E37" t="s">
        <v>19</v>
      </c>
      <c r="F37" t="s">
        <v>992</v>
      </c>
      <c r="G37" t="s">
        <v>20</v>
      </c>
      <c r="H37">
        <v>16212</v>
      </c>
      <c r="I37">
        <v>0</v>
      </c>
      <c r="J37">
        <v>0</v>
      </c>
      <c r="O37" t="s">
        <v>21</v>
      </c>
      <c r="P37" t="s">
        <v>2614</v>
      </c>
    </row>
    <row r="38" spans="1:16" x14ac:dyDescent="0.3">
      <c r="A38" t="s">
        <v>2615</v>
      </c>
      <c r="C38" t="s">
        <v>2530</v>
      </c>
      <c r="D38" t="s">
        <v>29</v>
      </c>
      <c r="E38" t="s">
        <v>409</v>
      </c>
      <c r="G38" t="s">
        <v>20</v>
      </c>
      <c r="H38">
        <v>5100</v>
      </c>
      <c r="I38">
        <v>27.412500000000001</v>
      </c>
      <c r="J38">
        <v>5072.5874999999996</v>
      </c>
      <c r="O38" t="s">
        <v>21</v>
      </c>
      <c r="P38" t="s">
        <v>2616</v>
      </c>
    </row>
    <row r="39" spans="1:16" x14ac:dyDescent="0.3">
      <c r="A39" t="s">
        <v>2617</v>
      </c>
      <c r="B39" s="1" t="s">
        <v>2618</v>
      </c>
      <c r="C39" t="s">
        <v>2530</v>
      </c>
      <c r="D39" t="s">
        <v>1203</v>
      </c>
      <c r="E39" t="s">
        <v>19</v>
      </c>
      <c r="G39" t="s">
        <v>20</v>
      </c>
      <c r="H39">
        <v>5100</v>
      </c>
      <c r="I39">
        <v>25</v>
      </c>
      <c r="J39">
        <v>0</v>
      </c>
      <c r="O39" t="s">
        <v>21</v>
      </c>
      <c r="P39" t="s">
        <v>2619</v>
      </c>
    </row>
    <row r="40" spans="1:16" x14ac:dyDescent="0.3">
      <c r="A40" t="s">
        <v>2620</v>
      </c>
      <c r="C40" t="s">
        <v>2530</v>
      </c>
      <c r="D40" t="s">
        <v>29</v>
      </c>
      <c r="E40" t="s">
        <v>409</v>
      </c>
      <c r="G40" t="s">
        <v>20</v>
      </c>
      <c r="H40">
        <v>8200</v>
      </c>
      <c r="I40">
        <v>44.075000000000003</v>
      </c>
      <c r="J40">
        <v>8155.9250000000002</v>
      </c>
      <c r="O40" t="s">
        <v>21</v>
      </c>
      <c r="P40" t="s">
        <v>2621</v>
      </c>
    </row>
    <row r="41" spans="1:16" x14ac:dyDescent="0.3">
      <c r="A41" t="s">
        <v>2622</v>
      </c>
      <c r="C41" t="s">
        <v>2530</v>
      </c>
      <c r="D41" t="s">
        <v>29</v>
      </c>
      <c r="E41" t="s">
        <v>409</v>
      </c>
      <c r="G41" t="s">
        <v>20</v>
      </c>
      <c r="H41">
        <v>3000</v>
      </c>
      <c r="I41" s="1" t="s">
        <v>1393</v>
      </c>
      <c r="J41">
        <v>2983.875</v>
      </c>
      <c r="O41" t="s">
        <v>21</v>
      </c>
      <c r="P41" t="s">
        <v>2623</v>
      </c>
    </row>
    <row r="42" spans="1:16" x14ac:dyDescent="0.3">
      <c r="A42" t="s">
        <v>2624</v>
      </c>
      <c r="C42" t="s">
        <v>2530</v>
      </c>
      <c r="D42" t="s">
        <v>404</v>
      </c>
      <c r="E42" t="s">
        <v>19</v>
      </c>
      <c r="F42" t="s">
        <v>2215</v>
      </c>
      <c r="G42" t="s">
        <v>20</v>
      </c>
      <c r="H42">
        <v>5072</v>
      </c>
      <c r="I42">
        <v>0</v>
      </c>
      <c r="J42">
        <v>0</v>
      </c>
      <c r="O42" t="s">
        <v>21</v>
      </c>
      <c r="P42" t="s">
        <v>2625</v>
      </c>
    </row>
    <row r="43" spans="1:16" x14ac:dyDescent="0.3">
      <c r="A43" t="s">
        <v>2626</v>
      </c>
      <c r="C43" t="s">
        <v>2530</v>
      </c>
      <c r="D43" t="s">
        <v>29</v>
      </c>
      <c r="E43" t="s">
        <v>409</v>
      </c>
      <c r="G43" t="s">
        <v>20</v>
      </c>
      <c r="H43">
        <v>5100</v>
      </c>
      <c r="I43">
        <v>27.412500000000001</v>
      </c>
      <c r="J43">
        <v>5072.5874999999996</v>
      </c>
      <c r="O43" t="s">
        <v>21</v>
      </c>
      <c r="P43" t="s">
        <v>2627</v>
      </c>
    </row>
    <row r="44" spans="1:16" x14ac:dyDescent="0.3">
      <c r="A44" t="s">
        <v>2628</v>
      </c>
      <c r="B44" s="1" t="s">
        <v>2629</v>
      </c>
      <c r="C44" t="s">
        <v>2530</v>
      </c>
      <c r="D44" t="s">
        <v>1203</v>
      </c>
      <c r="E44" t="s">
        <v>19</v>
      </c>
      <c r="G44" t="s">
        <v>20</v>
      </c>
      <c r="H44">
        <v>5000</v>
      </c>
      <c r="I44">
        <v>25</v>
      </c>
      <c r="J44">
        <v>0</v>
      </c>
      <c r="O44" t="s">
        <v>21</v>
      </c>
      <c r="P44" t="s">
        <v>2630</v>
      </c>
    </row>
    <row r="45" spans="1:16" x14ac:dyDescent="0.3">
      <c r="A45" t="s">
        <v>2631</v>
      </c>
      <c r="C45" t="s">
        <v>2530</v>
      </c>
      <c r="D45" t="s">
        <v>404</v>
      </c>
      <c r="E45" t="s">
        <v>19</v>
      </c>
      <c r="F45" t="s">
        <v>1014</v>
      </c>
      <c r="G45" t="s">
        <v>20</v>
      </c>
      <c r="H45">
        <v>5072</v>
      </c>
      <c r="I45">
        <v>0</v>
      </c>
      <c r="J45">
        <v>0</v>
      </c>
      <c r="O45" t="s">
        <v>21</v>
      </c>
      <c r="P45" t="s">
        <v>2632</v>
      </c>
    </row>
    <row r="46" spans="1:16" x14ac:dyDescent="0.3">
      <c r="A46" t="s">
        <v>2633</v>
      </c>
      <c r="C46" t="s">
        <v>2530</v>
      </c>
      <c r="D46" t="s">
        <v>408</v>
      </c>
      <c r="E46" t="s">
        <v>409</v>
      </c>
      <c r="G46" t="s">
        <v>20</v>
      </c>
      <c r="H46">
        <v>1100</v>
      </c>
      <c r="I46">
        <v>5.9124999999999996</v>
      </c>
      <c r="J46">
        <v>1094.0875000000001</v>
      </c>
      <c r="O46" t="s">
        <v>412</v>
      </c>
      <c r="P46" t="s">
        <v>2634</v>
      </c>
    </row>
    <row r="47" spans="1:16" x14ac:dyDescent="0.3">
      <c r="A47" t="s">
        <v>2635</v>
      </c>
      <c r="C47" t="s">
        <v>2530</v>
      </c>
      <c r="D47" t="s">
        <v>29</v>
      </c>
      <c r="E47" t="s">
        <v>409</v>
      </c>
      <c r="G47" t="s">
        <v>20</v>
      </c>
      <c r="H47">
        <v>5100</v>
      </c>
      <c r="I47">
        <v>27.412500000000001</v>
      </c>
      <c r="J47">
        <v>5072.5874999999996</v>
      </c>
      <c r="O47" t="s">
        <v>21</v>
      </c>
      <c r="P47" t="s">
        <v>2636</v>
      </c>
    </row>
    <row r="48" spans="1:16" x14ac:dyDescent="0.3">
      <c r="A48" t="s">
        <v>2637</v>
      </c>
      <c r="B48" s="1" t="s">
        <v>2638</v>
      </c>
      <c r="C48" t="s">
        <v>2530</v>
      </c>
      <c r="D48" t="s">
        <v>1203</v>
      </c>
      <c r="E48" t="s">
        <v>19</v>
      </c>
      <c r="G48" t="s">
        <v>20</v>
      </c>
      <c r="H48">
        <v>17700</v>
      </c>
      <c r="I48">
        <v>25</v>
      </c>
      <c r="J48">
        <v>0</v>
      </c>
      <c r="O48" t="s">
        <v>21</v>
      </c>
      <c r="P48" t="s">
        <v>2639</v>
      </c>
    </row>
    <row r="49" spans="1:16" x14ac:dyDescent="0.3">
      <c r="A49" t="s">
        <v>2640</v>
      </c>
      <c r="C49" t="s">
        <v>2530</v>
      </c>
      <c r="D49" t="s">
        <v>404</v>
      </c>
      <c r="E49" t="s">
        <v>19</v>
      </c>
      <c r="F49" t="s">
        <v>1027</v>
      </c>
      <c r="G49" t="s">
        <v>20</v>
      </c>
      <c r="H49">
        <v>7658</v>
      </c>
      <c r="I49">
        <v>0</v>
      </c>
      <c r="J49">
        <v>0</v>
      </c>
      <c r="O49" t="s">
        <v>21</v>
      </c>
      <c r="P49" t="s">
        <v>2641</v>
      </c>
    </row>
    <row r="50" spans="1:16" x14ac:dyDescent="0.3">
      <c r="A50" t="s">
        <v>2642</v>
      </c>
      <c r="C50" t="s">
        <v>2530</v>
      </c>
      <c r="D50" t="s">
        <v>408</v>
      </c>
      <c r="E50" t="s">
        <v>409</v>
      </c>
      <c r="G50" t="s">
        <v>20</v>
      </c>
      <c r="H50">
        <v>5100</v>
      </c>
      <c r="I50">
        <v>27.412500000000001</v>
      </c>
      <c r="J50">
        <v>5072.5874999999996</v>
      </c>
      <c r="O50" t="s">
        <v>21</v>
      </c>
      <c r="P50" t="s">
        <v>2643</v>
      </c>
    </row>
    <row r="51" spans="1:16" x14ac:dyDescent="0.3">
      <c r="A51" t="s">
        <v>2644</v>
      </c>
      <c r="C51" t="s">
        <v>2530</v>
      </c>
      <c r="D51" t="s">
        <v>408</v>
      </c>
      <c r="E51" t="s">
        <v>409</v>
      </c>
      <c r="G51" t="s">
        <v>20</v>
      </c>
      <c r="H51">
        <v>2600</v>
      </c>
      <c r="I51">
        <v>13.975</v>
      </c>
      <c r="J51">
        <v>2586.0250000000001</v>
      </c>
      <c r="O51" t="s">
        <v>21</v>
      </c>
      <c r="P51" t="s">
        <v>2645</v>
      </c>
    </row>
    <row r="52" spans="1:16" x14ac:dyDescent="0.3">
      <c r="A52" t="s">
        <v>2646</v>
      </c>
      <c r="C52" t="s">
        <v>2530</v>
      </c>
      <c r="D52" t="s">
        <v>404</v>
      </c>
      <c r="E52" t="s">
        <v>19</v>
      </c>
      <c r="F52" t="s">
        <v>1038</v>
      </c>
      <c r="G52" t="s">
        <v>20</v>
      </c>
      <c r="H52">
        <v>10145</v>
      </c>
      <c r="I52">
        <v>0</v>
      </c>
      <c r="J52">
        <v>0</v>
      </c>
      <c r="O52" t="s">
        <v>21</v>
      </c>
      <c r="P52" t="s">
        <v>2647</v>
      </c>
    </row>
    <row r="53" spans="1:16" x14ac:dyDescent="0.3">
      <c r="A53" t="s">
        <v>2648</v>
      </c>
      <c r="C53" t="s">
        <v>2530</v>
      </c>
      <c r="D53" t="s">
        <v>408</v>
      </c>
      <c r="E53" t="s">
        <v>409</v>
      </c>
      <c r="G53" t="s">
        <v>20</v>
      </c>
      <c r="H53">
        <v>10200</v>
      </c>
      <c r="I53">
        <v>54.825000000000003</v>
      </c>
      <c r="J53">
        <v>10145.174999999999</v>
      </c>
      <c r="O53" t="s">
        <v>21</v>
      </c>
      <c r="P53" t="s">
        <v>2649</v>
      </c>
    </row>
    <row r="54" spans="1:16" x14ac:dyDescent="0.3">
      <c r="A54" t="s">
        <v>2650</v>
      </c>
      <c r="B54" s="1" t="s">
        <v>2651</v>
      </c>
      <c r="C54" t="s">
        <v>2530</v>
      </c>
      <c r="D54" t="s">
        <v>1203</v>
      </c>
      <c r="E54" t="s">
        <v>19</v>
      </c>
      <c r="G54" t="s">
        <v>20</v>
      </c>
      <c r="H54">
        <v>16700</v>
      </c>
      <c r="I54">
        <v>25</v>
      </c>
      <c r="J54">
        <v>0</v>
      </c>
      <c r="O54" t="s">
        <v>21</v>
      </c>
      <c r="P54" t="s">
        <v>2652</v>
      </c>
    </row>
    <row r="55" spans="1:16" x14ac:dyDescent="0.3">
      <c r="A55" t="s">
        <v>2653</v>
      </c>
      <c r="C55" t="s">
        <v>2530</v>
      </c>
      <c r="D55" t="s">
        <v>1203</v>
      </c>
      <c r="E55" t="s">
        <v>19</v>
      </c>
      <c r="G55" t="s">
        <v>20</v>
      </c>
      <c r="H55">
        <v>16700</v>
      </c>
      <c r="I55">
        <v>25</v>
      </c>
      <c r="J55">
        <v>0</v>
      </c>
      <c r="O55" t="s">
        <v>412</v>
      </c>
      <c r="P55" t="s">
        <v>2654</v>
      </c>
    </row>
    <row r="56" spans="1:16" x14ac:dyDescent="0.3">
      <c r="A56" t="s">
        <v>2655</v>
      </c>
      <c r="C56" t="s">
        <v>2530</v>
      </c>
      <c r="D56" t="s">
        <v>404</v>
      </c>
      <c r="E56" t="s">
        <v>19</v>
      </c>
      <c r="F56" t="s">
        <v>1057</v>
      </c>
      <c r="G56" t="s">
        <v>20</v>
      </c>
      <c r="H56">
        <v>10145</v>
      </c>
      <c r="I56">
        <v>0</v>
      </c>
      <c r="J56">
        <v>0</v>
      </c>
      <c r="O56" t="s">
        <v>21</v>
      </c>
      <c r="P56" t="s">
        <v>2656</v>
      </c>
    </row>
    <row r="57" spans="1:16" x14ac:dyDescent="0.3">
      <c r="A57" t="s">
        <v>2657</v>
      </c>
      <c r="C57" t="s">
        <v>2530</v>
      </c>
      <c r="D57" t="s">
        <v>408</v>
      </c>
      <c r="E57" t="s">
        <v>409</v>
      </c>
      <c r="G57" t="s">
        <v>20</v>
      </c>
      <c r="H57">
        <v>10200</v>
      </c>
      <c r="I57">
        <v>54.825000000000003</v>
      </c>
      <c r="J57">
        <v>10145.174999999999</v>
      </c>
      <c r="O57" t="s">
        <v>21</v>
      </c>
      <c r="P57" t="s">
        <v>2658</v>
      </c>
    </row>
    <row r="58" spans="1:16" x14ac:dyDescent="0.3">
      <c r="A58" t="s">
        <v>2659</v>
      </c>
      <c r="C58" t="s">
        <v>2530</v>
      </c>
      <c r="D58" t="s">
        <v>404</v>
      </c>
      <c r="E58" t="s">
        <v>19</v>
      </c>
      <c r="F58" t="s">
        <v>2291</v>
      </c>
      <c r="G58" t="s">
        <v>20</v>
      </c>
      <c r="H58">
        <v>6564</v>
      </c>
      <c r="I58">
        <v>0</v>
      </c>
      <c r="J58">
        <v>0</v>
      </c>
      <c r="O58" t="s">
        <v>21</v>
      </c>
      <c r="P58" t="s">
        <v>2660</v>
      </c>
    </row>
    <row r="59" spans="1:16" x14ac:dyDescent="0.3">
      <c r="A59" t="s">
        <v>2661</v>
      </c>
      <c r="C59" t="s">
        <v>2530</v>
      </c>
      <c r="D59" t="s">
        <v>408</v>
      </c>
      <c r="E59" t="s">
        <v>409</v>
      </c>
      <c r="G59" t="s">
        <v>20</v>
      </c>
      <c r="H59">
        <v>5100</v>
      </c>
      <c r="I59">
        <v>27.412500000000001</v>
      </c>
      <c r="J59">
        <v>5072.5874999999996</v>
      </c>
      <c r="O59" t="s">
        <v>412</v>
      </c>
      <c r="P59" t="s">
        <v>2662</v>
      </c>
    </row>
    <row r="60" spans="1:16" x14ac:dyDescent="0.3">
      <c r="A60" t="s">
        <v>2663</v>
      </c>
      <c r="C60" t="s">
        <v>2530</v>
      </c>
      <c r="D60" t="s">
        <v>408</v>
      </c>
      <c r="E60" t="s">
        <v>409</v>
      </c>
      <c r="G60" t="s">
        <v>20</v>
      </c>
      <c r="H60">
        <v>1500</v>
      </c>
      <c r="I60" s="1" t="s">
        <v>1717</v>
      </c>
      <c r="J60">
        <v>1491.9375</v>
      </c>
      <c r="O60" t="s">
        <v>21</v>
      </c>
      <c r="P60" t="s">
        <v>2664</v>
      </c>
    </row>
    <row r="61" spans="1:16" x14ac:dyDescent="0.3">
      <c r="A61" t="s">
        <v>2665</v>
      </c>
      <c r="C61" t="s">
        <v>2530</v>
      </c>
      <c r="D61" t="s">
        <v>408</v>
      </c>
      <c r="E61" t="s">
        <v>409</v>
      </c>
      <c r="G61" t="s">
        <v>20</v>
      </c>
      <c r="H61">
        <v>5100</v>
      </c>
      <c r="I61">
        <v>27.412500000000001</v>
      </c>
      <c r="J61">
        <v>5072.5874999999996</v>
      </c>
      <c r="O61" t="s">
        <v>21</v>
      </c>
      <c r="P61" t="s">
        <v>2666</v>
      </c>
    </row>
    <row r="62" spans="1:16" x14ac:dyDescent="0.3">
      <c r="A62" t="s">
        <v>2667</v>
      </c>
      <c r="C62" t="s">
        <v>2530</v>
      </c>
      <c r="D62" t="s">
        <v>1116</v>
      </c>
      <c r="E62" t="s">
        <v>1117</v>
      </c>
      <c r="F62" t="s">
        <v>1118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2668</v>
      </c>
    </row>
    <row r="63" spans="1:16" x14ac:dyDescent="0.3">
      <c r="A63" t="s">
        <v>2669</v>
      </c>
      <c r="C63" t="s">
        <v>2530</v>
      </c>
      <c r="D63" t="s">
        <v>18</v>
      </c>
      <c r="E63" t="s">
        <v>19</v>
      </c>
      <c r="G63" t="s">
        <v>20</v>
      </c>
      <c r="H63">
        <v>6421.5</v>
      </c>
      <c r="I63">
        <v>0</v>
      </c>
      <c r="J63">
        <v>6421.5</v>
      </c>
      <c r="O63" t="s">
        <v>21</v>
      </c>
      <c r="P63" t="s">
        <v>2670</v>
      </c>
    </row>
    <row r="64" spans="1:16" x14ac:dyDescent="0.3">
      <c r="A64" t="s">
        <v>2671</v>
      </c>
      <c r="C64" t="s">
        <v>2530</v>
      </c>
      <c r="D64" t="s">
        <v>18</v>
      </c>
      <c r="E64" t="s">
        <v>19</v>
      </c>
      <c r="G64" t="s">
        <v>20</v>
      </c>
      <c r="H64">
        <v>6500</v>
      </c>
      <c r="I64">
        <v>0</v>
      </c>
      <c r="J64">
        <v>6500</v>
      </c>
      <c r="O64" t="s">
        <v>21</v>
      </c>
      <c r="P64" t="s">
        <v>2672</v>
      </c>
    </row>
    <row r="65" spans="1:16" x14ac:dyDescent="0.3">
      <c r="A65" t="s">
        <v>2673</v>
      </c>
      <c r="C65" t="s">
        <v>2530</v>
      </c>
      <c r="D65" t="s">
        <v>18</v>
      </c>
      <c r="E65" t="s">
        <v>19</v>
      </c>
      <c r="G65" t="s">
        <v>20</v>
      </c>
      <c r="H65">
        <v>6500</v>
      </c>
      <c r="I65">
        <v>0</v>
      </c>
      <c r="J65">
        <v>6500</v>
      </c>
      <c r="O65" t="s">
        <v>21</v>
      </c>
      <c r="P65" t="s">
        <v>2674</v>
      </c>
    </row>
    <row r="66" spans="1:16" x14ac:dyDescent="0.3">
      <c r="A66" t="s">
        <v>2675</v>
      </c>
      <c r="C66" t="s">
        <v>2530</v>
      </c>
      <c r="D66" t="s">
        <v>404</v>
      </c>
      <c r="E66" t="s">
        <v>19</v>
      </c>
      <c r="F66" t="s">
        <v>1127</v>
      </c>
      <c r="G66" t="s">
        <v>20</v>
      </c>
      <c r="H66">
        <v>6465</v>
      </c>
      <c r="I66">
        <v>0</v>
      </c>
      <c r="J66">
        <v>0</v>
      </c>
      <c r="O66" t="s">
        <v>21</v>
      </c>
      <c r="P66" t="s">
        <v>2676</v>
      </c>
    </row>
    <row r="67" spans="1:16" x14ac:dyDescent="0.3">
      <c r="A67" t="s">
        <v>2677</v>
      </c>
      <c r="C67" t="s">
        <v>2530</v>
      </c>
      <c r="D67" t="s">
        <v>408</v>
      </c>
      <c r="E67" t="s">
        <v>409</v>
      </c>
      <c r="G67" t="s">
        <v>20</v>
      </c>
      <c r="H67">
        <v>5000</v>
      </c>
      <c r="I67" s="1" t="s">
        <v>1275</v>
      </c>
      <c r="J67">
        <v>4973.125</v>
      </c>
      <c r="O67" t="s">
        <v>21</v>
      </c>
      <c r="P67" t="s">
        <v>2678</v>
      </c>
    </row>
    <row r="68" spans="1:16" x14ac:dyDescent="0.3">
      <c r="A68" t="s">
        <v>2679</v>
      </c>
      <c r="C68" t="s">
        <v>2530</v>
      </c>
      <c r="D68" t="s">
        <v>408</v>
      </c>
      <c r="E68" t="s">
        <v>409</v>
      </c>
      <c r="G68" t="s">
        <v>20</v>
      </c>
      <c r="H68">
        <v>1500</v>
      </c>
      <c r="I68" s="1" t="s">
        <v>1717</v>
      </c>
      <c r="J68">
        <v>1491.9375</v>
      </c>
      <c r="O68" t="s">
        <v>21</v>
      </c>
      <c r="P68" t="s">
        <v>2680</v>
      </c>
    </row>
    <row r="69" spans="1:16" x14ac:dyDescent="0.3">
      <c r="A69" t="s">
        <v>2681</v>
      </c>
      <c r="C69" t="s">
        <v>2530</v>
      </c>
      <c r="D69" t="s">
        <v>408</v>
      </c>
      <c r="E69" t="s">
        <v>409</v>
      </c>
      <c r="G69" t="s">
        <v>20</v>
      </c>
      <c r="H69">
        <v>1000</v>
      </c>
      <c r="I69">
        <v>5.375</v>
      </c>
      <c r="J69">
        <v>994.625</v>
      </c>
      <c r="O69" t="s">
        <v>412</v>
      </c>
      <c r="P69" t="s">
        <v>2682</v>
      </c>
    </row>
    <row r="70" spans="1:16" x14ac:dyDescent="0.3">
      <c r="A70" t="s">
        <v>2683</v>
      </c>
      <c r="B70" s="1" t="s">
        <v>2684</v>
      </c>
      <c r="C70" t="s">
        <v>2530</v>
      </c>
      <c r="D70" t="s">
        <v>1203</v>
      </c>
      <c r="E70" t="s">
        <v>19</v>
      </c>
      <c r="G70" t="s">
        <v>20</v>
      </c>
      <c r="H70">
        <v>6900</v>
      </c>
      <c r="I70">
        <v>25</v>
      </c>
      <c r="J70">
        <v>0</v>
      </c>
      <c r="O70" t="s">
        <v>21</v>
      </c>
      <c r="P70" t="s">
        <v>2685</v>
      </c>
    </row>
    <row r="71" spans="1:16" x14ac:dyDescent="0.3">
      <c r="A71" t="s">
        <v>2686</v>
      </c>
      <c r="C71" t="s">
        <v>2530</v>
      </c>
      <c r="D71" t="s">
        <v>404</v>
      </c>
      <c r="E71" t="s">
        <v>19</v>
      </c>
      <c r="F71" t="s">
        <v>2687</v>
      </c>
      <c r="G71" t="s">
        <v>20</v>
      </c>
      <c r="H71">
        <v>5967</v>
      </c>
      <c r="I71">
        <v>0</v>
      </c>
      <c r="J71">
        <v>0</v>
      </c>
      <c r="O71" t="s">
        <v>21</v>
      </c>
      <c r="P71" t="s">
        <v>2688</v>
      </c>
    </row>
    <row r="72" spans="1:16" x14ac:dyDescent="0.3">
      <c r="A72" t="s">
        <v>2689</v>
      </c>
      <c r="C72" t="s">
        <v>2530</v>
      </c>
      <c r="D72" t="s">
        <v>408</v>
      </c>
      <c r="E72" t="s">
        <v>409</v>
      </c>
      <c r="G72" t="s">
        <v>20</v>
      </c>
      <c r="H72">
        <v>5000</v>
      </c>
      <c r="I72" s="1" t="s">
        <v>1275</v>
      </c>
      <c r="J72">
        <v>4973.125</v>
      </c>
      <c r="O72" t="s">
        <v>21</v>
      </c>
      <c r="P72" t="s">
        <v>2690</v>
      </c>
    </row>
    <row r="73" spans="1:16" x14ac:dyDescent="0.3">
      <c r="A73" t="s">
        <v>2691</v>
      </c>
      <c r="C73" t="s">
        <v>2530</v>
      </c>
      <c r="D73" t="s">
        <v>408</v>
      </c>
      <c r="E73" t="s">
        <v>409</v>
      </c>
      <c r="G73" t="s">
        <v>20</v>
      </c>
      <c r="H73">
        <v>1000</v>
      </c>
      <c r="I73">
        <v>5.375</v>
      </c>
      <c r="J73">
        <v>994.625</v>
      </c>
      <c r="O73" t="s">
        <v>21</v>
      </c>
      <c r="P73" t="s">
        <v>2692</v>
      </c>
    </row>
    <row r="74" spans="1:16" x14ac:dyDescent="0.3">
      <c r="A74" t="s">
        <v>2693</v>
      </c>
      <c r="C74" t="s">
        <v>2530</v>
      </c>
      <c r="D74" t="s">
        <v>404</v>
      </c>
      <c r="E74" t="s">
        <v>19</v>
      </c>
      <c r="F74" t="s">
        <v>1168</v>
      </c>
      <c r="G74" t="s">
        <v>20</v>
      </c>
      <c r="H74">
        <v>965</v>
      </c>
      <c r="I74">
        <v>0</v>
      </c>
      <c r="J74">
        <v>0</v>
      </c>
      <c r="O74" t="s">
        <v>21</v>
      </c>
      <c r="P74" t="s">
        <v>2694</v>
      </c>
    </row>
    <row r="75" spans="1:16" x14ac:dyDescent="0.3">
      <c r="A75" t="s">
        <v>2695</v>
      </c>
      <c r="B75" s="1" t="s">
        <v>2696</v>
      </c>
      <c r="C75" t="s">
        <v>2530</v>
      </c>
      <c r="D75" t="s">
        <v>29</v>
      </c>
      <c r="E75" t="s">
        <v>1217</v>
      </c>
      <c r="F75" t="s">
        <v>2697</v>
      </c>
      <c r="G75" t="s">
        <v>20</v>
      </c>
      <c r="H75">
        <v>500</v>
      </c>
      <c r="I75">
        <v>32.25</v>
      </c>
      <c r="J75">
        <v>467.75</v>
      </c>
      <c r="O75" t="s">
        <v>21</v>
      </c>
      <c r="P75" t="s">
        <v>2698</v>
      </c>
    </row>
    <row r="76" spans="1:16" x14ac:dyDescent="0.3">
      <c r="A76" t="s">
        <v>2699</v>
      </c>
      <c r="C76" t="s">
        <v>2530</v>
      </c>
      <c r="D76" t="s">
        <v>408</v>
      </c>
      <c r="E76" t="s">
        <v>409</v>
      </c>
      <c r="G76" t="s">
        <v>20</v>
      </c>
      <c r="H76">
        <v>500</v>
      </c>
      <c r="I76">
        <v>2.6875</v>
      </c>
      <c r="J76">
        <v>497.3125</v>
      </c>
      <c r="O76" t="s">
        <v>21</v>
      </c>
      <c r="P76" t="s">
        <v>2700</v>
      </c>
    </row>
    <row r="77" spans="1:16" x14ac:dyDescent="0.3">
      <c r="A77" t="s">
        <v>2701</v>
      </c>
      <c r="C77" t="s">
        <v>2530</v>
      </c>
      <c r="D77" t="s">
        <v>408</v>
      </c>
      <c r="E77" t="s">
        <v>409</v>
      </c>
      <c r="G77" t="s">
        <v>20</v>
      </c>
      <c r="H77">
        <v>3000</v>
      </c>
      <c r="I77" s="1" t="s">
        <v>1393</v>
      </c>
      <c r="J77">
        <v>2983.875</v>
      </c>
      <c r="O77" t="s">
        <v>412</v>
      </c>
      <c r="P77" t="s">
        <v>2702</v>
      </c>
    </row>
    <row r="78" spans="1:16" x14ac:dyDescent="0.3">
      <c r="A78" t="s">
        <v>2703</v>
      </c>
      <c r="C78" t="s">
        <v>2530</v>
      </c>
      <c r="D78" t="s">
        <v>408</v>
      </c>
      <c r="E78" t="s">
        <v>409</v>
      </c>
      <c r="G78" t="s">
        <v>20</v>
      </c>
      <c r="H78">
        <v>1000</v>
      </c>
      <c r="I78">
        <v>5.375</v>
      </c>
      <c r="J78">
        <v>994.625</v>
      </c>
      <c r="O78" t="s">
        <v>412</v>
      </c>
      <c r="P78" t="s">
        <v>2704</v>
      </c>
    </row>
    <row r="79" spans="1:16" x14ac:dyDescent="0.3">
      <c r="A79" t="s">
        <v>2705</v>
      </c>
      <c r="C79" t="s">
        <v>2530</v>
      </c>
      <c r="D79" t="s">
        <v>408</v>
      </c>
      <c r="E79" t="s">
        <v>409</v>
      </c>
      <c r="G79" t="s">
        <v>20</v>
      </c>
      <c r="H79">
        <v>1000</v>
      </c>
      <c r="I79">
        <v>5.375</v>
      </c>
      <c r="J79">
        <v>994.625</v>
      </c>
      <c r="O79" t="s">
        <v>412</v>
      </c>
      <c r="P79" t="s">
        <v>2706</v>
      </c>
    </row>
    <row r="80" spans="1:16" x14ac:dyDescent="0.3">
      <c r="A80" t="s">
        <v>2707</v>
      </c>
      <c r="C80" t="s">
        <v>2530</v>
      </c>
      <c r="D80" t="s">
        <v>408</v>
      </c>
      <c r="E80" t="s">
        <v>409</v>
      </c>
      <c r="G80" t="s">
        <v>20</v>
      </c>
      <c r="H80">
        <v>1000</v>
      </c>
      <c r="I80">
        <v>5.375</v>
      </c>
      <c r="J80">
        <v>994.625</v>
      </c>
      <c r="O80" t="s">
        <v>412</v>
      </c>
      <c r="P80" t="s">
        <v>2708</v>
      </c>
    </row>
    <row r="81" spans="1:16" x14ac:dyDescent="0.3">
      <c r="A81" t="s">
        <v>2709</v>
      </c>
      <c r="B81" s="1" t="s">
        <v>2710</v>
      </c>
      <c r="C81" t="s">
        <v>2530</v>
      </c>
      <c r="D81" t="s">
        <v>1203</v>
      </c>
      <c r="E81" t="s">
        <v>19</v>
      </c>
      <c r="G81" t="s">
        <v>20</v>
      </c>
      <c r="H81">
        <v>4900</v>
      </c>
      <c r="I81">
        <v>25</v>
      </c>
      <c r="J81">
        <v>0</v>
      </c>
      <c r="O81" t="s">
        <v>21</v>
      </c>
      <c r="P81" t="s">
        <v>2711</v>
      </c>
    </row>
    <row r="82" spans="1:16" x14ac:dyDescent="0.3">
      <c r="A82" t="s">
        <v>2712</v>
      </c>
      <c r="C82" t="s">
        <v>2530</v>
      </c>
      <c r="D82" t="s">
        <v>1116</v>
      </c>
      <c r="E82" t="s">
        <v>1117</v>
      </c>
      <c r="F82" t="s">
        <v>1196</v>
      </c>
      <c r="G82" t="s">
        <v>20</v>
      </c>
      <c r="H82">
        <v>0</v>
      </c>
      <c r="I82">
        <v>0</v>
      </c>
      <c r="J82">
        <v>0</v>
      </c>
      <c r="O82" t="s">
        <v>21</v>
      </c>
      <c r="P82" t="s">
        <v>2713</v>
      </c>
    </row>
    <row r="83" spans="1:16" x14ac:dyDescent="0.3">
      <c r="A83" t="s">
        <v>2714</v>
      </c>
      <c r="C83" t="s">
        <v>2530</v>
      </c>
      <c r="D83" t="s">
        <v>408</v>
      </c>
      <c r="E83" t="s">
        <v>409</v>
      </c>
      <c r="G83" t="s">
        <v>20</v>
      </c>
      <c r="H83">
        <v>3000</v>
      </c>
      <c r="I83" s="1" t="s">
        <v>1393</v>
      </c>
      <c r="J83">
        <v>2983.875</v>
      </c>
      <c r="O83" t="s">
        <v>21</v>
      </c>
      <c r="P83" t="s">
        <v>2715</v>
      </c>
    </row>
    <row r="84" spans="1:16" x14ac:dyDescent="0.3">
      <c r="A84" t="s">
        <v>2716</v>
      </c>
      <c r="C84" t="s">
        <v>2530</v>
      </c>
      <c r="D84" t="s">
        <v>408</v>
      </c>
      <c r="E84" t="s">
        <v>409</v>
      </c>
      <c r="G84" t="s">
        <v>20</v>
      </c>
      <c r="H84">
        <v>1000</v>
      </c>
      <c r="I84">
        <v>5.375</v>
      </c>
      <c r="J84">
        <v>994.625</v>
      </c>
      <c r="O84" t="s">
        <v>21</v>
      </c>
      <c r="P84" t="s">
        <v>2717</v>
      </c>
    </row>
    <row r="85" spans="1:16" x14ac:dyDescent="0.3">
      <c r="A85" t="s">
        <v>2718</v>
      </c>
      <c r="B85" s="1" t="s">
        <v>2719</v>
      </c>
      <c r="C85" t="s">
        <v>2530</v>
      </c>
      <c r="D85" t="s">
        <v>29</v>
      </c>
      <c r="E85" t="s">
        <v>1217</v>
      </c>
      <c r="F85" t="s">
        <v>2720</v>
      </c>
      <c r="G85" t="s">
        <v>20</v>
      </c>
      <c r="H85">
        <v>200</v>
      </c>
      <c r="I85">
        <v>32.25</v>
      </c>
      <c r="J85">
        <v>167.75</v>
      </c>
      <c r="O85" t="s">
        <v>21</v>
      </c>
      <c r="P85" t="s">
        <v>2721</v>
      </c>
    </row>
    <row r="86" spans="1:16" x14ac:dyDescent="0.3">
      <c r="A86" t="s">
        <v>2722</v>
      </c>
      <c r="C86" t="s">
        <v>2530</v>
      </c>
      <c r="D86" t="s">
        <v>408</v>
      </c>
      <c r="E86" t="s">
        <v>409</v>
      </c>
      <c r="G86" t="s">
        <v>20</v>
      </c>
      <c r="H86">
        <v>500</v>
      </c>
      <c r="I86">
        <v>2.6875</v>
      </c>
      <c r="J86">
        <v>497.3125</v>
      </c>
      <c r="O86" t="s">
        <v>21</v>
      </c>
      <c r="P86" t="s">
        <v>2723</v>
      </c>
    </row>
    <row r="87" spans="1:16" x14ac:dyDescent="0.3">
      <c r="A87" t="s">
        <v>2724</v>
      </c>
      <c r="B87" s="1" t="s">
        <v>2725</v>
      </c>
      <c r="C87" t="s">
        <v>2530</v>
      </c>
      <c r="D87" t="s">
        <v>29</v>
      </c>
      <c r="E87" t="s">
        <v>19</v>
      </c>
      <c r="F87" t="s">
        <v>2726</v>
      </c>
      <c r="G87" t="s">
        <v>20</v>
      </c>
      <c r="H87">
        <v>200</v>
      </c>
      <c r="I87">
        <v>32.25</v>
      </c>
      <c r="J87">
        <v>167.75</v>
      </c>
      <c r="L87">
        <v>12</v>
      </c>
      <c r="M87">
        <v>2.25</v>
      </c>
      <c r="N87">
        <v>0</v>
      </c>
      <c r="O87" t="s">
        <v>21</v>
      </c>
      <c r="P87" t="s">
        <v>2727</v>
      </c>
    </row>
    <row r="88" spans="1:16" x14ac:dyDescent="0.3">
      <c r="A88" t="s">
        <v>2728</v>
      </c>
      <c r="B88" s="1" t="s">
        <v>2729</v>
      </c>
      <c r="C88" t="s">
        <v>2530</v>
      </c>
      <c r="D88" t="s">
        <v>29</v>
      </c>
      <c r="E88" t="s">
        <v>1217</v>
      </c>
      <c r="F88" t="s">
        <v>2730</v>
      </c>
      <c r="G88" t="s">
        <v>20</v>
      </c>
      <c r="H88">
        <v>200</v>
      </c>
      <c r="I88">
        <v>32.25</v>
      </c>
      <c r="J88">
        <v>167.75</v>
      </c>
      <c r="O88" t="s">
        <v>21</v>
      </c>
      <c r="P88" t="s">
        <v>2731</v>
      </c>
    </row>
    <row r="89" spans="1:16" x14ac:dyDescent="0.3">
      <c r="A89" t="s">
        <v>2732</v>
      </c>
      <c r="C89" t="s">
        <v>2530</v>
      </c>
      <c r="D89" t="s">
        <v>1116</v>
      </c>
      <c r="E89" t="s">
        <v>1195</v>
      </c>
      <c r="F89" t="s">
        <v>1196</v>
      </c>
      <c r="G89" t="s">
        <v>20</v>
      </c>
      <c r="H89">
        <v>0</v>
      </c>
      <c r="I89">
        <v>0</v>
      </c>
      <c r="J89">
        <v>0</v>
      </c>
      <c r="O89" t="s">
        <v>21</v>
      </c>
      <c r="P89" t="s">
        <v>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6F2F-8CEC-47AF-88FF-72A1CC800150}">
  <dimension ref="A1:P277"/>
  <sheetViews>
    <sheetView workbookViewId="0">
      <selection activeCell="L11" sqref="L11"/>
    </sheetView>
  </sheetViews>
  <sheetFormatPr defaultRowHeight="14.4" x14ac:dyDescent="0.3"/>
  <cols>
    <col min="3" max="3" width="1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2734</v>
      </c>
      <c r="B2" s="1" t="s">
        <v>2735</v>
      </c>
      <c r="C2" t="s">
        <v>2736</v>
      </c>
      <c r="D2" t="s">
        <v>1203</v>
      </c>
      <c r="E2" t="s">
        <v>19</v>
      </c>
      <c r="G2" t="s">
        <v>20</v>
      </c>
      <c r="H2">
        <v>100000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2737</v>
      </c>
    </row>
    <row r="3" spans="1:16" x14ac:dyDescent="0.3">
      <c r="A3" t="s">
        <v>2738</v>
      </c>
      <c r="C3" t="s">
        <v>2736</v>
      </c>
      <c r="D3" t="s">
        <v>404</v>
      </c>
      <c r="E3" t="s">
        <v>19</v>
      </c>
      <c r="F3" t="s">
        <v>2739</v>
      </c>
      <c r="G3" t="s">
        <v>20</v>
      </c>
      <c r="H3">
        <v>99892</v>
      </c>
      <c r="I3">
        <v>0</v>
      </c>
      <c r="J3">
        <v>0</v>
      </c>
      <c r="O3" t="s">
        <v>21</v>
      </c>
      <c r="P3" t="s">
        <v>2740</v>
      </c>
    </row>
    <row r="4" spans="1:16" x14ac:dyDescent="0.3">
      <c r="A4" t="s">
        <v>2741</v>
      </c>
      <c r="C4" t="s">
        <v>2736</v>
      </c>
      <c r="D4" t="s">
        <v>408</v>
      </c>
      <c r="E4" t="s">
        <v>409</v>
      </c>
      <c r="G4" t="s">
        <v>20</v>
      </c>
      <c r="H4">
        <v>100000</v>
      </c>
      <c r="I4">
        <v>107.5</v>
      </c>
      <c r="J4">
        <v>99892.5</v>
      </c>
      <c r="O4" t="s">
        <v>21</v>
      </c>
      <c r="P4" t="s">
        <v>2742</v>
      </c>
    </row>
    <row r="5" spans="1:16" x14ac:dyDescent="0.3">
      <c r="A5" t="s">
        <v>2743</v>
      </c>
      <c r="C5" t="s">
        <v>2736</v>
      </c>
      <c r="D5" t="s">
        <v>408</v>
      </c>
      <c r="E5" t="s">
        <v>409</v>
      </c>
      <c r="G5" t="s">
        <v>20</v>
      </c>
      <c r="H5">
        <v>100000</v>
      </c>
      <c r="I5">
        <v>107.5</v>
      </c>
      <c r="J5">
        <v>99892.5</v>
      </c>
      <c r="O5" t="s">
        <v>412</v>
      </c>
      <c r="P5" t="s">
        <v>2744</v>
      </c>
    </row>
    <row r="6" spans="1:16" x14ac:dyDescent="0.3">
      <c r="A6" t="s">
        <v>2745</v>
      </c>
      <c r="B6" s="1" t="s">
        <v>2746</v>
      </c>
      <c r="C6" t="s">
        <v>2736</v>
      </c>
      <c r="D6" t="s">
        <v>1203</v>
      </c>
      <c r="E6" t="s">
        <v>19</v>
      </c>
      <c r="G6" t="s">
        <v>20</v>
      </c>
      <c r="H6">
        <v>5000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2747</v>
      </c>
    </row>
    <row r="7" spans="1:16" x14ac:dyDescent="0.3">
      <c r="A7" t="s">
        <v>2748</v>
      </c>
      <c r="B7" s="1" t="s">
        <v>2749</v>
      </c>
      <c r="C7" t="s">
        <v>2736</v>
      </c>
      <c r="D7" t="s">
        <v>1203</v>
      </c>
      <c r="E7" t="s">
        <v>19</v>
      </c>
      <c r="G7" t="s">
        <v>20</v>
      </c>
      <c r="H7">
        <v>5000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2750</v>
      </c>
    </row>
    <row r="8" spans="1:16" x14ac:dyDescent="0.3">
      <c r="A8" t="s">
        <v>2751</v>
      </c>
      <c r="B8" s="1" t="s">
        <v>2752</v>
      </c>
      <c r="C8" t="s">
        <v>2736</v>
      </c>
      <c r="D8" t="s">
        <v>1203</v>
      </c>
      <c r="E8" t="s">
        <v>19</v>
      </c>
      <c r="G8" t="s">
        <v>20</v>
      </c>
      <c r="H8">
        <v>50000</v>
      </c>
      <c r="I8">
        <v>32.25</v>
      </c>
      <c r="J8">
        <v>0</v>
      </c>
      <c r="L8">
        <v>12</v>
      </c>
      <c r="M8">
        <v>2.25</v>
      </c>
      <c r="N8">
        <v>0</v>
      </c>
      <c r="O8" t="s">
        <v>21</v>
      </c>
      <c r="P8" t="s">
        <v>2753</v>
      </c>
    </row>
    <row r="9" spans="1:16" x14ac:dyDescent="0.3">
      <c r="A9" t="s">
        <v>2754</v>
      </c>
      <c r="C9" t="s">
        <v>2736</v>
      </c>
      <c r="D9" t="s">
        <v>404</v>
      </c>
      <c r="E9" t="s">
        <v>19</v>
      </c>
      <c r="F9" t="s">
        <v>2541</v>
      </c>
      <c r="G9" t="s">
        <v>20</v>
      </c>
      <c r="H9">
        <v>4973</v>
      </c>
      <c r="I9">
        <v>0</v>
      </c>
      <c r="J9">
        <v>0</v>
      </c>
      <c r="O9" t="s">
        <v>21</v>
      </c>
      <c r="P9" t="s">
        <v>2755</v>
      </c>
    </row>
    <row r="10" spans="1:16" x14ac:dyDescent="0.3">
      <c r="A10" t="s">
        <v>2756</v>
      </c>
      <c r="B10" s="1" t="s">
        <v>2757</v>
      </c>
      <c r="C10" t="s">
        <v>2736</v>
      </c>
      <c r="D10" t="s">
        <v>1203</v>
      </c>
      <c r="E10" t="s">
        <v>19</v>
      </c>
      <c r="G10" t="s">
        <v>20</v>
      </c>
      <c r="H10">
        <v>2000</v>
      </c>
      <c r="I10">
        <v>32.25</v>
      </c>
      <c r="J10">
        <v>0</v>
      </c>
      <c r="L10">
        <v>12</v>
      </c>
      <c r="M10">
        <v>2.25</v>
      </c>
      <c r="N10">
        <v>0</v>
      </c>
      <c r="O10" t="s">
        <v>21</v>
      </c>
      <c r="P10" t="s">
        <v>2758</v>
      </c>
    </row>
    <row r="11" spans="1:16" x14ac:dyDescent="0.3">
      <c r="A11" t="s">
        <v>2759</v>
      </c>
      <c r="C11" t="s">
        <v>2736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21</v>
      </c>
      <c r="P11" t="s">
        <v>2760</v>
      </c>
    </row>
    <row r="12" spans="1:16" x14ac:dyDescent="0.3">
      <c r="A12" t="s">
        <v>2761</v>
      </c>
      <c r="C12" t="s">
        <v>2736</v>
      </c>
      <c r="D12" t="s">
        <v>1203</v>
      </c>
      <c r="E12" t="s">
        <v>19</v>
      </c>
      <c r="G12" t="s">
        <v>20</v>
      </c>
      <c r="H12">
        <v>50000</v>
      </c>
      <c r="I12">
        <v>32.25</v>
      </c>
      <c r="J12">
        <v>0</v>
      </c>
      <c r="L12">
        <v>12</v>
      </c>
      <c r="M12">
        <v>2.25</v>
      </c>
      <c r="N12">
        <v>0</v>
      </c>
      <c r="O12" t="s">
        <v>412</v>
      </c>
      <c r="P12" t="s">
        <v>2762</v>
      </c>
    </row>
    <row r="13" spans="1:16" x14ac:dyDescent="0.3">
      <c r="A13" t="s">
        <v>2763</v>
      </c>
      <c r="C13" t="s">
        <v>2736</v>
      </c>
      <c r="D13" t="s">
        <v>408</v>
      </c>
      <c r="E13" t="s">
        <v>409</v>
      </c>
      <c r="G13" t="s">
        <v>20</v>
      </c>
      <c r="H13">
        <v>50000</v>
      </c>
      <c r="I13">
        <v>107.5</v>
      </c>
      <c r="J13">
        <v>49892.5</v>
      </c>
      <c r="O13" t="s">
        <v>412</v>
      </c>
      <c r="P13" t="s">
        <v>2764</v>
      </c>
    </row>
    <row r="14" spans="1:16" x14ac:dyDescent="0.3">
      <c r="A14" t="s">
        <v>2765</v>
      </c>
      <c r="C14" t="s">
        <v>2736</v>
      </c>
      <c r="D14" t="s">
        <v>408</v>
      </c>
      <c r="E14" t="s">
        <v>409</v>
      </c>
      <c r="G14" t="s">
        <v>20</v>
      </c>
      <c r="H14">
        <v>50000</v>
      </c>
      <c r="I14">
        <v>107.5</v>
      </c>
      <c r="J14">
        <v>49892.5</v>
      </c>
      <c r="O14" t="s">
        <v>412</v>
      </c>
      <c r="P14" t="s">
        <v>2766</v>
      </c>
    </row>
    <row r="15" spans="1:16" x14ac:dyDescent="0.3">
      <c r="A15" t="s">
        <v>2767</v>
      </c>
      <c r="B15" s="1" t="s">
        <v>2768</v>
      </c>
      <c r="C15" t="s">
        <v>2736</v>
      </c>
      <c r="D15" t="s">
        <v>1203</v>
      </c>
      <c r="E15" t="s">
        <v>19</v>
      </c>
      <c r="G15" t="s">
        <v>20</v>
      </c>
      <c r="H15">
        <v>10000</v>
      </c>
      <c r="I15">
        <v>32.25</v>
      </c>
      <c r="J15">
        <v>0</v>
      </c>
      <c r="L15">
        <v>12</v>
      </c>
      <c r="M15">
        <v>2.25</v>
      </c>
      <c r="N15">
        <v>0</v>
      </c>
      <c r="O15" t="s">
        <v>21</v>
      </c>
      <c r="P15" t="s">
        <v>2769</v>
      </c>
    </row>
    <row r="16" spans="1:16" x14ac:dyDescent="0.3">
      <c r="A16" t="s">
        <v>2770</v>
      </c>
      <c r="B16" s="1" t="s">
        <v>2771</v>
      </c>
      <c r="C16" t="s">
        <v>2736</v>
      </c>
      <c r="D16" t="s">
        <v>1203</v>
      </c>
      <c r="E16" t="s">
        <v>19</v>
      </c>
      <c r="G16" t="s">
        <v>20</v>
      </c>
      <c r="H16">
        <v>4000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2772</v>
      </c>
    </row>
    <row r="17" spans="1:16" x14ac:dyDescent="0.3">
      <c r="A17" t="s">
        <v>2773</v>
      </c>
      <c r="B17" s="1" t="s">
        <v>2774</v>
      </c>
      <c r="C17" t="s">
        <v>2736</v>
      </c>
      <c r="D17" t="s">
        <v>1203</v>
      </c>
      <c r="E17" t="s">
        <v>19</v>
      </c>
      <c r="G17" t="s">
        <v>20</v>
      </c>
      <c r="H17">
        <v>6000</v>
      </c>
      <c r="I17">
        <v>32.25</v>
      </c>
      <c r="J17">
        <v>0</v>
      </c>
      <c r="L17">
        <v>12</v>
      </c>
      <c r="M17">
        <v>2.25</v>
      </c>
      <c r="N17">
        <v>0</v>
      </c>
      <c r="O17" t="s">
        <v>21</v>
      </c>
      <c r="P17" t="s">
        <v>2775</v>
      </c>
    </row>
    <row r="18" spans="1:16" x14ac:dyDescent="0.3">
      <c r="A18" t="s">
        <v>2776</v>
      </c>
      <c r="C18" t="s">
        <v>2736</v>
      </c>
      <c r="D18" t="s">
        <v>404</v>
      </c>
      <c r="E18" t="s">
        <v>19</v>
      </c>
      <c r="F18" t="s">
        <v>2777</v>
      </c>
      <c r="G18" t="s">
        <v>20</v>
      </c>
      <c r="H18">
        <v>69785</v>
      </c>
      <c r="I18">
        <v>0</v>
      </c>
      <c r="J18">
        <v>0</v>
      </c>
      <c r="O18" t="s">
        <v>21</v>
      </c>
      <c r="P18" t="s">
        <v>2778</v>
      </c>
    </row>
    <row r="19" spans="1:16" x14ac:dyDescent="0.3">
      <c r="A19" t="s">
        <v>2779</v>
      </c>
      <c r="C19" t="s">
        <v>2736</v>
      </c>
      <c r="D19" t="s">
        <v>408</v>
      </c>
      <c r="E19" t="s">
        <v>409</v>
      </c>
      <c r="G19" t="s">
        <v>20</v>
      </c>
      <c r="H19">
        <v>20000</v>
      </c>
      <c r="I19" s="1" t="s">
        <v>2155</v>
      </c>
      <c r="J19">
        <v>19892.5</v>
      </c>
      <c r="O19" t="s">
        <v>21</v>
      </c>
      <c r="P19" t="s">
        <v>2780</v>
      </c>
    </row>
    <row r="20" spans="1:16" x14ac:dyDescent="0.3">
      <c r="A20" t="s">
        <v>2781</v>
      </c>
      <c r="C20" t="s">
        <v>2736</v>
      </c>
      <c r="D20" t="s">
        <v>408</v>
      </c>
      <c r="E20" t="s">
        <v>409</v>
      </c>
      <c r="G20" t="s">
        <v>20</v>
      </c>
      <c r="H20">
        <v>50000</v>
      </c>
      <c r="I20">
        <v>107.5</v>
      </c>
      <c r="J20">
        <v>49892.5</v>
      </c>
      <c r="O20" t="s">
        <v>21</v>
      </c>
      <c r="P20" t="s">
        <v>2782</v>
      </c>
    </row>
    <row r="21" spans="1:16" x14ac:dyDescent="0.3">
      <c r="A21" t="s">
        <v>2783</v>
      </c>
      <c r="B21" s="1" t="s">
        <v>2784</v>
      </c>
      <c r="C21" t="s">
        <v>2736</v>
      </c>
      <c r="D21" t="s">
        <v>1203</v>
      </c>
      <c r="E21" t="s">
        <v>19</v>
      </c>
      <c r="G21" t="s">
        <v>20</v>
      </c>
      <c r="H21">
        <v>70000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2785</v>
      </c>
    </row>
    <row r="22" spans="1:16" x14ac:dyDescent="0.3">
      <c r="A22" t="s">
        <v>2786</v>
      </c>
      <c r="B22" s="1" t="s">
        <v>2787</v>
      </c>
      <c r="C22" t="s">
        <v>2736</v>
      </c>
      <c r="D22" t="s">
        <v>1203</v>
      </c>
      <c r="E22" t="s">
        <v>19</v>
      </c>
      <c r="G22" t="s">
        <v>20</v>
      </c>
      <c r="H22">
        <v>2000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2788</v>
      </c>
    </row>
    <row r="23" spans="1:16" x14ac:dyDescent="0.3">
      <c r="A23" t="s">
        <v>2789</v>
      </c>
      <c r="C23" t="s">
        <v>2736</v>
      </c>
      <c r="D23" t="s">
        <v>404</v>
      </c>
      <c r="E23" t="s">
        <v>19</v>
      </c>
      <c r="F23" t="s">
        <v>2790</v>
      </c>
      <c r="G23" t="s">
        <v>20</v>
      </c>
      <c r="H23">
        <v>49892</v>
      </c>
      <c r="I23">
        <v>0</v>
      </c>
      <c r="J23">
        <v>0</v>
      </c>
      <c r="O23" t="s">
        <v>21</v>
      </c>
      <c r="P23" t="s">
        <v>2791</v>
      </c>
    </row>
    <row r="24" spans="1:16" x14ac:dyDescent="0.3">
      <c r="A24" t="s">
        <v>2792</v>
      </c>
      <c r="C24" t="s">
        <v>2736</v>
      </c>
      <c r="D24" t="s">
        <v>408</v>
      </c>
      <c r="E24" t="s">
        <v>409</v>
      </c>
      <c r="G24" t="s">
        <v>20</v>
      </c>
      <c r="H24">
        <v>50000</v>
      </c>
      <c r="I24">
        <v>107.5</v>
      </c>
      <c r="J24">
        <v>49892.5</v>
      </c>
      <c r="O24" t="s">
        <v>21</v>
      </c>
      <c r="P24" t="s">
        <v>2793</v>
      </c>
    </row>
    <row r="25" spans="1:16" x14ac:dyDescent="0.3">
      <c r="A25" t="s">
        <v>2794</v>
      </c>
      <c r="C25" t="s">
        <v>2736</v>
      </c>
      <c r="D25" t="s">
        <v>408</v>
      </c>
      <c r="E25" t="s">
        <v>409</v>
      </c>
      <c r="G25" t="s">
        <v>20</v>
      </c>
      <c r="H25">
        <v>49000</v>
      </c>
      <c r="I25">
        <v>107.5</v>
      </c>
      <c r="J25">
        <v>48892.5</v>
      </c>
      <c r="O25" t="s">
        <v>412</v>
      </c>
      <c r="P25" t="s">
        <v>2795</v>
      </c>
    </row>
    <row r="26" spans="1:16" x14ac:dyDescent="0.3">
      <c r="A26" t="s">
        <v>2796</v>
      </c>
      <c r="C26" t="s">
        <v>2736</v>
      </c>
      <c r="D26" t="s">
        <v>408</v>
      </c>
      <c r="E26" t="s">
        <v>409</v>
      </c>
      <c r="G26" t="s">
        <v>20</v>
      </c>
      <c r="H26">
        <v>50000</v>
      </c>
      <c r="I26">
        <v>107.5</v>
      </c>
      <c r="J26">
        <v>49892.5</v>
      </c>
      <c r="O26" t="s">
        <v>412</v>
      </c>
      <c r="P26" t="s">
        <v>2797</v>
      </c>
    </row>
    <row r="27" spans="1:16" x14ac:dyDescent="0.3">
      <c r="A27" t="s">
        <v>2798</v>
      </c>
      <c r="C27" t="s">
        <v>2736</v>
      </c>
      <c r="D27" t="s">
        <v>408</v>
      </c>
      <c r="E27" t="s">
        <v>409</v>
      </c>
      <c r="G27" t="s">
        <v>20</v>
      </c>
      <c r="H27">
        <v>50000</v>
      </c>
      <c r="I27">
        <v>107.5</v>
      </c>
      <c r="J27">
        <v>49892.5</v>
      </c>
      <c r="O27" t="s">
        <v>412</v>
      </c>
      <c r="P27" t="s">
        <v>2799</v>
      </c>
    </row>
    <row r="28" spans="1:16" x14ac:dyDescent="0.3">
      <c r="A28" t="s">
        <v>2800</v>
      </c>
      <c r="B28" s="1" t="s">
        <v>2801</v>
      </c>
      <c r="C28" t="s">
        <v>2736</v>
      </c>
      <c r="D28" t="s">
        <v>1203</v>
      </c>
      <c r="E28" t="s">
        <v>19</v>
      </c>
      <c r="G28" t="s">
        <v>20</v>
      </c>
      <c r="H28">
        <v>70000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2802</v>
      </c>
    </row>
    <row r="29" spans="1:16" x14ac:dyDescent="0.3">
      <c r="A29" t="s">
        <v>2803</v>
      </c>
      <c r="C29" t="s">
        <v>2736</v>
      </c>
      <c r="D29" t="s">
        <v>404</v>
      </c>
      <c r="E29" t="s">
        <v>19</v>
      </c>
      <c r="F29" t="s">
        <v>2804</v>
      </c>
      <c r="G29" t="s">
        <v>20</v>
      </c>
      <c r="H29">
        <v>99892</v>
      </c>
      <c r="I29">
        <v>0</v>
      </c>
      <c r="J29">
        <v>0</v>
      </c>
      <c r="O29" t="s">
        <v>21</v>
      </c>
      <c r="P29" t="s">
        <v>2805</v>
      </c>
    </row>
    <row r="30" spans="1:16" x14ac:dyDescent="0.3">
      <c r="A30" t="s">
        <v>2806</v>
      </c>
      <c r="C30" t="s">
        <v>2736</v>
      </c>
      <c r="D30" t="s">
        <v>408</v>
      </c>
      <c r="E30" t="s">
        <v>409</v>
      </c>
      <c r="G30" t="s">
        <v>20</v>
      </c>
      <c r="H30">
        <v>100000</v>
      </c>
      <c r="I30">
        <v>107.5</v>
      </c>
      <c r="J30">
        <v>99892.5</v>
      </c>
      <c r="O30" t="s">
        <v>21</v>
      </c>
      <c r="P30" t="s">
        <v>2807</v>
      </c>
    </row>
    <row r="31" spans="1:16" x14ac:dyDescent="0.3">
      <c r="A31" t="s">
        <v>2808</v>
      </c>
      <c r="B31" s="1" t="s">
        <v>2809</v>
      </c>
      <c r="C31" t="s">
        <v>2736</v>
      </c>
      <c r="D31" t="s">
        <v>1203</v>
      </c>
      <c r="E31" t="s">
        <v>19</v>
      </c>
      <c r="G31" t="s">
        <v>20</v>
      </c>
      <c r="H31">
        <v>1000</v>
      </c>
      <c r="I31">
        <v>32.25</v>
      </c>
      <c r="J31">
        <v>0</v>
      </c>
      <c r="L31">
        <v>12</v>
      </c>
      <c r="M31">
        <v>2.25</v>
      </c>
      <c r="N31">
        <v>0</v>
      </c>
      <c r="O31" t="s">
        <v>21</v>
      </c>
      <c r="P31" t="s">
        <v>2810</v>
      </c>
    </row>
    <row r="32" spans="1:16" x14ac:dyDescent="0.3">
      <c r="A32" t="s">
        <v>2811</v>
      </c>
      <c r="B32" s="1" t="s">
        <v>2812</v>
      </c>
      <c r="C32" t="s">
        <v>2736</v>
      </c>
      <c r="D32" t="s">
        <v>1203</v>
      </c>
      <c r="E32" t="s">
        <v>19</v>
      </c>
      <c r="G32" t="s">
        <v>20</v>
      </c>
      <c r="H32">
        <v>10000</v>
      </c>
      <c r="I32">
        <v>32.25</v>
      </c>
      <c r="J32">
        <v>0</v>
      </c>
      <c r="L32">
        <v>12</v>
      </c>
      <c r="M32">
        <v>2.25</v>
      </c>
      <c r="N32">
        <v>0</v>
      </c>
      <c r="O32" t="s">
        <v>21</v>
      </c>
      <c r="P32" t="s">
        <v>2813</v>
      </c>
    </row>
    <row r="33" spans="1:16" x14ac:dyDescent="0.3">
      <c r="A33" t="s">
        <v>2814</v>
      </c>
      <c r="B33" s="1" t="s">
        <v>2815</v>
      </c>
      <c r="C33" t="s">
        <v>2736</v>
      </c>
      <c r="D33" t="s">
        <v>1203</v>
      </c>
      <c r="E33" t="s">
        <v>19</v>
      </c>
      <c r="G33" t="s">
        <v>20</v>
      </c>
      <c r="H33">
        <v>5000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2816</v>
      </c>
    </row>
    <row r="34" spans="1:16" x14ac:dyDescent="0.3">
      <c r="A34" t="s">
        <v>2817</v>
      </c>
      <c r="B34" s="1" t="s">
        <v>2818</v>
      </c>
      <c r="C34" t="s">
        <v>2736</v>
      </c>
      <c r="D34" t="s">
        <v>1203</v>
      </c>
      <c r="E34" t="s">
        <v>19</v>
      </c>
      <c r="G34" t="s">
        <v>20</v>
      </c>
      <c r="H34">
        <v>4000</v>
      </c>
      <c r="I34">
        <v>32.25</v>
      </c>
      <c r="J34">
        <v>0</v>
      </c>
      <c r="L34">
        <v>12</v>
      </c>
      <c r="M34">
        <v>2.25</v>
      </c>
      <c r="N34">
        <v>0</v>
      </c>
      <c r="O34" t="s">
        <v>21</v>
      </c>
      <c r="P34" t="s">
        <v>2819</v>
      </c>
    </row>
    <row r="35" spans="1:16" x14ac:dyDescent="0.3">
      <c r="A35" t="s">
        <v>2820</v>
      </c>
      <c r="B35" s="1" t="s">
        <v>2821</v>
      </c>
      <c r="C35" t="s">
        <v>2736</v>
      </c>
      <c r="D35" t="s">
        <v>1203</v>
      </c>
      <c r="E35" t="s">
        <v>19</v>
      </c>
      <c r="G35" t="s">
        <v>20</v>
      </c>
      <c r="H35">
        <v>5000</v>
      </c>
      <c r="I35">
        <v>32.25</v>
      </c>
      <c r="J35">
        <v>0</v>
      </c>
      <c r="L35">
        <v>12</v>
      </c>
      <c r="M35">
        <v>2.25</v>
      </c>
      <c r="N35">
        <v>0</v>
      </c>
      <c r="O35" t="s">
        <v>21</v>
      </c>
      <c r="P35" t="s">
        <v>2822</v>
      </c>
    </row>
    <row r="36" spans="1:16" x14ac:dyDescent="0.3">
      <c r="A36" t="s">
        <v>2823</v>
      </c>
      <c r="B36" s="1" t="s">
        <v>2824</v>
      </c>
      <c r="C36" t="s">
        <v>2736</v>
      </c>
      <c r="D36" t="s">
        <v>1203</v>
      </c>
      <c r="E36" t="s">
        <v>19</v>
      </c>
      <c r="G36" t="s">
        <v>20</v>
      </c>
      <c r="H36">
        <v>5000</v>
      </c>
      <c r="I36">
        <v>32.25</v>
      </c>
      <c r="J36">
        <v>0</v>
      </c>
      <c r="L36">
        <v>12</v>
      </c>
      <c r="M36">
        <v>2.25</v>
      </c>
      <c r="N36">
        <v>0</v>
      </c>
      <c r="O36" t="s">
        <v>21</v>
      </c>
      <c r="P36" t="s">
        <v>2825</v>
      </c>
    </row>
    <row r="37" spans="1:16" x14ac:dyDescent="0.3">
      <c r="A37" t="s">
        <v>2826</v>
      </c>
      <c r="B37" s="1" t="s">
        <v>2827</v>
      </c>
      <c r="C37" t="s">
        <v>2736</v>
      </c>
      <c r="D37" t="s">
        <v>1203</v>
      </c>
      <c r="E37" t="s">
        <v>19</v>
      </c>
      <c r="G37" t="s">
        <v>20</v>
      </c>
      <c r="H37">
        <v>5000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2828</v>
      </c>
    </row>
    <row r="38" spans="1:16" x14ac:dyDescent="0.3">
      <c r="A38" t="s">
        <v>2829</v>
      </c>
      <c r="B38" s="1" t="s">
        <v>2830</v>
      </c>
      <c r="C38" t="s">
        <v>2736</v>
      </c>
      <c r="D38" t="s">
        <v>1203</v>
      </c>
      <c r="E38" t="s">
        <v>19</v>
      </c>
      <c r="G38" t="s">
        <v>20</v>
      </c>
      <c r="H38">
        <v>4000</v>
      </c>
      <c r="I38">
        <v>32.25</v>
      </c>
      <c r="J38">
        <v>0</v>
      </c>
      <c r="L38">
        <v>12</v>
      </c>
      <c r="M38">
        <v>2.25</v>
      </c>
      <c r="N38">
        <v>0</v>
      </c>
      <c r="O38" t="s">
        <v>21</v>
      </c>
      <c r="P38" t="s">
        <v>2831</v>
      </c>
    </row>
    <row r="39" spans="1:16" x14ac:dyDescent="0.3">
      <c r="A39" t="s">
        <v>2832</v>
      </c>
      <c r="B39" s="1" t="s">
        <v>2833</v>
      </c>
      <c r="C39" t="s">
        <v>2736</v>
      </c>
      <c r="D39" t="s">
        <v>1203</v>
      </c>
      <c r="E39" t="s">
        <v>19</v>
      </c>
      <c r="G39" t="s">
        <v>20</v>
      </c>
      <c r="H39">
        <v>50000</v>
      </c>
      <c r="I39">
        <v>32.25</v>
      </c>
      <c r="J39">
        <v>0</v>
      </c>
      <c r="L39">
        <v>12</v>
      </c>
      <c r="M39">
        <v>2.25</v>
      </c>
      <c r="N39">
        <v>0</v>
      </c>
      <c r="O39" t="s">
        <v>21</v>
      </c>
      <c r="P39" t="s">
        <v>2834</v>
      </c>
    </row>
    <row r="40" spans="1:16" x14ac:dyDescent="0.3">
      <c r="A40" t="s">
        <v>2835</v>
      </c>
      <c r="B40" s="1" t="s">
        <v>2836</v>
      </c>
      <c r="C40" t="s">
        <v>2736</v>
      </c>
      <c r="D40" t="s">
        <v>29</v>
      </c>
      <c r="E40" t="s">
        <v>19</v>
      </c>
      <c r="F40" t="s">
        <v>2837</v>
      </c>
      <c r="G40" t="s">
        <v>20</v>
      </c>
      <c r="H40">
        <v>10000</v>
      </c>
      <c r="I40">
        <v>32.25</v>
      </c>
      <c r="J40">
        <v>9967.75</v>
      </c>
      <c r="L40">
        <v>12</v>
      </c>
      <c r="M40">
        <v>2.25</v>
      </c>
      <c r="N40">
        <v>0</v>
      </c>
      <c r="O40" t="s">
        <v>21</v>
      </c>
      <c r="P40" t="s">
        <v>2838</v>
      </c>
    </row>
    <row r="41" spans="1:16" x14ac:dyDescent="0.3">
      <c r="A41" t="s">
        <v>2839</v>
      </c>
      <c r="B41" s="1" t="s">
        <v>2840</v>
      </c>
      <c r="C41" t="s">
        <v>2736</v>
      </c>
      <c r="D41" t="s">
        <v>1203</v>
      </c>
      <c r="E41" t="s">
        <v>19</v>
      </c>
      <c r="G41" t="s">
        <v>20</v>
      </c>
      <c r="H41">
        <v>20000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21</v>
      </c>
      <c r="P41" t="s">
        <v>2841</v>
      </c>
    </row>
    <row r="42" spans="1:16" x14ac:dyDescent="0.3">
      <c r="A42" t="s">
        <v>2842</v>
      </c>
      <c r="B42" s="1" t="s">
        <v>2843</v>
      </c>
      <c r="C42" t="s">
        <v>2736</v>
      </c>
      <c r="D42" t="s">
        <v>1203</v>
      </c>
      <c r="E42" t="s">
        <v>19</v>
      </c>
      <c r="G42" t="s">
        <v>20</v>
      </c>
      <c r="H42">
        <v>2000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2844</v>
      </c>
    </row>
    <row r="43" spans="1:16" x14ac:dyDescent="0.3">
      <c r="A43" t="s">
        <v>2845</v>
      </c>
      <c r="B43" s="1" t="s">
        <v>2846</v>
      </c>
      <c r="C43" t="s">
        <v>2736</v>
      </c>
      <c r="D43" t="s">
        <v>1203</v>
      </c>
      <c r="E43" t="s">
        <v>19</v>
      </c>
      <c r="G43" t="s">
        <v>20</v>
      </c>
      <c r="H43">
        <v>14000</v>
      </c>
      <c r="I43">
        <v>32.25</v>
      </c>
      <c r="J43">
        <v>0</v>
      </c>
      <c r="L43">
        <v>12</v>
      </c>
      <c r="M43">
        <v>2.25</v>
      </c>
      <c r="N43">
        <v>0</v>
      </c>
      <c r="O43" t="s">
        <v>21</v>
      </c>
      <c r="P43" t="s">
        <v>2847</v>
      </c>
    </row>
    <row r="44" spans="1:16" x14ac:dyDescent="0.3">
      <c r="A44" t="s">
        <v>2848</v>
      </c>
      <c r="B44" s="1" t="s">
        <v>2849</v>
      </c>
      <c r="C44" t="s">
        <v>2736</v>
      </c>
      <c r="D44" t="s">
        <v>1203</v>
      </c>
      <c r="E44" t="s">
        <v>19</v>
      </c>
      <c r="G44" t="s">
        <v>20</v>
      </c>
      <c r="H44">
        <v>5000</v>
      </c>
      <c r="I44">
        <v>32.25</v>
      </c>
      <c r="J44">
        <v>0</v>
      </c>
      <c r="L44">
        <v>12</v>
      </c>
      <c r="M44">
        <v>2.25</v>
      </c>
      <c r="N44">
        <v>0</v>
      </c>
      <c r="O44" t="s">
        <v>21</v>
      </c>
      <c r="P44" t="s">
        <v>2850</v>
      </c>
    </row>
    <row r="45" spans="1:16" x14ac:dyDescent="0.3">
      <c r="A45" t="s">
        <v>2851</v>
      </c>
      <c r="B45" s="1" t="s">
        <v>2852</v>
      </c>
      <c r="C45" t="s">
        <v>2736</v>
      </c>
      <c r="D45" t="s">
        <v>1203</v>
      </c>
      <c r="E45" t="s">
        <v>19</v>
      </c>
      <c r="G45" t="s">
        <v>20</v>
      </c>
      <c r="H45">
        <v>5000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2853</v>
      </c>
    </row>
    <row r="46" spans="1:16" x14ac:dyDescent="0.3">
      <c r="A46" t="s">
        <v>2854</v>
      </c>
      <c r="B46" s="1" t="s">
        <v>2855</v>
      </c>
      <c r="C46" t="s">
        <v>2736</v>
      </c>
      <c r="D46" t="s">
        <v>1203</v>
      </c>
      <c r="E46" t="s">
        <v>19</v>
      </c>
      <c r="G46" t="s">
        <v>20</v>
      </c>
      <c r="H46">
        <v>5000</v>
      </c>
      <c r="I46">
        <v>32.25</v>
      </c>
      <c r="J46">
        <v>0</v>
      </c>
      <c r="L46">
        <v>12</v>
      </c>
      <c r="M46">
        <v>2.25</v>
      </c>
      <c r="N46">
        <v>0</v>
      </c>
      <c r="O46" t="s">
        <v>21</v>
      </c>
      <c r="P46" t="s">
        <v>2856</v>
      </c>
    </row>
    <row r="47" spans="1:16" x14ac:dyDescent="0.3">
      <c r="A47" t="s">
        <v>2857</v>
      </c>
      <c r="B47" s="1" t="s">
        <v>2858</v>
      </c>
      <c r="C47" t="s">
        <v>2736</v>
      </c>
      <c r="D47" t="s">
        <v>1203</v>
      </c>
      <c r="E47" t="s">
        <v>19</v>
      </c>
      <c r="G47" t="s">
        <v>20</v>
      </c>
      <c r="H47">
        <v>2000</v>
      </c>
      <c r="I47">
        <v>32.25</v>
      </c>
      <c r="J47">
        <v>0</v>
      </c>
      <c r="L47">
        <v>12</v>
      </c>
      <c r="M47">
        <v>2.25</v>
      </c>
      <c r="N47">
        <v>0</v>
      </c>
      <c r="O47" t="s">
        <v>21</v>
      </c>
      <c r="P47" t="s">
        <v>2859</v>
      </c>
    </row>
    <row r="48" spans="1:16" x14ac:dyDescent="0.3">
      <c r="A48" t="s">
        <v>2860</v>
      </c>
      <c r="B48" s="1" t="s">
        <v>2861</v>
      </c>
      <c r="C48" t="s">
        <v>2736</v>
      </c>
      <c r="D48" t="s">
        <v>1203</v>
      </c>
      <c r="E48" t="s">
        <v>19</v>
      </c>
      <c r="G48" t="s">
        <v>20</v>
      </c>
      <c r="H48">
        <v>5000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21</v>
      </c>
      <c r="P48" t="s">
        <v>2862</v>
      </c>
    </row>
    <row r="49" spans="1:16" x14ac:dyDescent="0.3">
      <c r="A49" t="s">
        <v>2863</v>
      </c>
      <c r="B49" s="1" t="s">
        <v>2864</v>
      </c>
      <c r="C49" t="s">
        <v>2736</v>
      </c>
      <c r="D49" t="s">
        <v>1203</v>
      </c>
      <c r="E49" t="s">
        <v>19</v>
      </c>
      <c r="G49" t="s">
        <v>20</v>
      </c>
      <c r="H49">
        <v>250000</v>
      </c>
      <c r="I49">
        <v>32.25</v>
      </c>
      <c r="J49">
        <v>0</v>
      </c>
      <c r="L49">
        <v>12</v>
      </c>
      <c r="M49">
        <v>2.25</v>
      </c>
      <c r="N49">
        <v>0</v>
      </c>
      <c r="O49" t="s">
        <v>21</v>
      </c>
      <c r="P49" t="s">
        <v>2865</v>
      </c>
    </row>
    <row r="50" spans="1:16" x14ac:dyDescent="0.3">
      <c r="A50" t="s">
        <v>2866</v>
      </c>
      <c r="C50" t="s">
        <v>2736</v>
      </c>
      <c r="D50" t="s">
        <v>404</v>
      </c>
      <c r="E50" t="s">
        <v>19</v>
      </c>
      <c r="F50" t="s">
        <v>597</v>
      </c>
      <c r="G50" t="s">
        <v>20</v>
      </c>
      <c r="H50">
        <v>300542</v>
      </c>
      <c r="I50">
        <v>0</v>
      </c>
      <c r="J50">
        <v>0</v>
      </c>
      <c r="O50" t="s">
        <v>21</v>
      </c>
      <c r="P50" t="s">
        <v>2867</v>
      </c>
    </row>
    <row r="51" spans="1:16" x14ac:dyDescent="0.3">
      <c r="A51" t="s">
        <v>2868</v>
      </c>
      <c r="C51" t="s">
        <v>2736</v>
      </c>
      <c r="D51" t="s">
        <v>408</v>
      </c>
      <c r="E51" t="s">
        <v>409</v>
      </c>
      <c r="G51" t="s">
        <v>20</v>
      </c>
      <c r="H51">
        <v>300700</v>
      </c>
      <c r="I51">
        <v>157.5</v>
      </c>
      <c r="J51">
        <v>300542.5</v>
      </c>
      <c r="O51" t="s">
        <v>21</v>
      </c>
      <c r="P51" t="s">
        <v>2869</v>
      </c>
    </row>
    <row r="52" spans="1:16" x14ac:dyDescent="0.3">
      <c r="A52" t="s">
        <v>2870</v>
      </c>
      <c r="B52" s="1" t="s">
        <v>2871</v>
      </c>
      <c r="C52" t="s">
        <v>2736</v>
      </c>
      <c r="D52" t="s">
        <v>29</v>
      </c>
      <c r="E52" t="s">
        <v>19</v>
      </c>
      <c r="F52" t="s">
        <v>2872</v>
      </c>
      <c r="G52" t="s">
        <v>20</v>
      </c>
      <c r="H52">
        <v>5000</v>
      </c>
      <c r="I52">
        <v>32.25</v>
      </c>
      <c r="J52">
        <v>4967.75</v>
      </c>
      <c r="L52">
        <v>12</v>
      </c>
      <c r="M52">
        <v>2.25</v>
      </c>
      <c r="N52">
        <v>0</v>
      </c>
      <c r="O52" t="s">
        <v>21</v>
      </c>
      <c r="P52" t="s">
        <v>2873</v>
      </c>
    </row>
    <row r="53" spans="1:16" x14ac:dyDescent="0.3">
      <c r="A53" t="s">
        <v>2874</v>
      </c>
      <c r="B53" s="1" t="s">
        <v>2875</v>
      </c>
      <c r="C53" t="s">
        <v>2736</v>
      </c>
      <c r="D53" t="s">
        <v>29</v>
      </c>
      <c r="E53" t="s">
        <v>19</v>
      </c>
      <c r="F53" t="s">
        <v>2876</v>
      </c>
      <c r="G53" t="s">
        <v>20</v>
      </c>
      <c r="H53">
        <v>10000</v>
      </c>
      <c r="I53">
        <v>32.25</v>
      </c>
      <c r="J53">
        <v>9967.75</v>
      </c>
      <c r="L53">
        <v>12</v>
      </c>
      <c r="M53">
        <v>2.25</v>
      </c>
      <c r="N53">
        <v>0</v>
      </c>
      <c r="O53" t="s">
        <v>21</v>
      </c>
      <c r="P53" t="s">
        <v>2877</v>
      </c>
    </row>
    <row r="54" spans="1:16" x14ac:dyDescent="0.3">
      <c r="A54" t="s">
        <v>2878</v>
      </c>
      <c r="B54" s="1" t="s">
        <v>2879</v>
      </c>
      <c r="C54" t="s">
        <v>2736</v>
      </c>
      <c r="D54" t="s">
        <v>1203</v>
      </c>
      <c r="E54" t="s">
        <v>19</v>
      </c>
      <c r="G54" t="s">
        <v>20</v>
      </c>
      <c r="H54">
        <v>5000</v>
      </c>
      <c r="I54">
        <v>25</v>
      </c>
      <c r="J54">
        <v>0</v>
      </c>
      <c r="O54" t="s">
        <v>21</v>
      </c>
      <c r="P54" t="s">
        <v>2880</v>
      </c>
    </row>
    <row r="55" spans="1:16" x14ac:dyDescent="0.3">
      <c r="A55" t="s">
        <v>2881</v>
      </c>
      <c r="B55" s="1" t="s">
        <v>2882</v>
      </c>
      <c r="C55" t="s">
        <v>2736</v>
      </c>
      <c r="D55" t="s">
        <v>1203</v>
      </c>
      <c r="E55" t="s">
        <v>19</v>
      </c>
      <c r="G55" t="s">
        <v>20</v>
      </c>
      <c r="H55">
        <v>5000</v>
      </c>
      <c r="I55">
        <v>25</v>
      </c>
      <c r="J55">
        <v>0</v>
      </c>
      <c r="O55" t="s">
        <v>21</v>
      </c>
      <c r="P55" t="s">
        <v>2883</v>
      </c>
    </row>
    <row r="56" spans="1:16" x14ac:dyDescent="0.3">
      <c r="A56" t="s">
        <v>2884</v>
      </c>
      <c r="B56" s="1" t="s">
        <v>2885</v>
      </c>
      <c r="C56" t="s">
        <v>2736</v>
      </c>
      <c r="D56" t="s">
        <v>29</v>
      </c>
      <c r="E56" t="s">
        <v>19</v>
      </c>
      <c r="F56" t="s">
        <v>2886</v>
      </c>
      <c r="G56" t="s">
        <v>20</v>
      </c>
      <c r="H56">
        <v>2500</v>
      </c>
      <c r="I56">
        <v>32.25</v>
      </c>
      <c r="J56">
        <v>2467.75</v>
      </c>
      <c r="L56">
        <v>12</v>
      </c>
      <c r="M56">
        <v>2.25</v>
      </c>
      <c r="N56">
        <v>0</v>
      </c>
      <c r="O56" t="s">
        <v>21</v>
      </c>
      <c r="P56" t="s">
        <v>2887</v>
      </c>
    </row>
    <row r="57" spans="1:16" x14ac:dyDescent="0.3">
      <c r="A57" t="s">
        <v>2888</v>
      </c>
      <c r="B57" s="1" t="s">
        <v>2889</v>
      </c>
      <c r="C57" t="s">
        <v>2736</v>
      </c>
      <c r="D57" t="s">
        <v>29</v>
      </c>
      <c r="E57" t="s">
        <v>19</v>
      </c>
      <c r="F57" t="s">
        <v>2890</v>
      </c>
      <c r="G57" t="s">
        <v>20</v>
      </c>
      <c r="H57">
        <v>75000</v>
      </c>
      <c r="I57">
        <v>82.25</v>
      </c>
      <c r="J57">
        <v>74917.75</v>
      </c>
      <c r="L57">
        <v>12</v>
      </c>
      <c r="M57">
        <v>2.25</v>
      </c>
      <c r="N57">
        <v>50</v>
      </c>
      <c r="O57" t="s">
        <v>21</v>
      </c>
      <c r="P57" t="s">
        <v>2891</v>
      </c>
    </row>
    <row r="58" spans="1:16" x14ac:dyDescent="0.3">
      <c r="A58" t="s">
        <v>2892</v>
      </c>
      <c r="B58" s="1" t="s">
        <v>2893</v>
      </c>
      <c r="C58" t="s">
        <v>2736</v>
      </c>
      <c r="D58" t="s">
        <v>29</v>
      </c>
      <c r="E58" t="s">
        <v>19</v>
      </c>
      <c r="F58" t="s">
        <v>2894</v>
      </c>
      <c r="G58" t="s">
        <v>20</v>
      </c>
      <c r="H58">
        <v>5000</v>
      </c>
      <c r="I58">
        <v>32.25</v>
      </c>
      <c r="J58">
        <v>4967.75</v>
      </c>
      <c r="L58">
        <v>12</v>
      </c>
      <c r="M58">
        <v>2.25</v>
      </c>
      <c r="N58">
        <v>0</v>
      </c>
      <c r="O58" t="s">
        <v>21</v>
      </c>
      <c r="P58" t="s">
        <v>2895</v>
      </c>
    </row>
    <row r="59" spans="1:16" x14ac:dyDescent="0.3">
      <c r="A59" t="s">
        <v>2896</v>
      </c>
      <c r="B59" s="1" t="s">
        <v>2897</v>
      </c>
      <c r="C59" t="s">
        <v>2736</v>
      </c>
      <c r="D59" t="s">
        <v>1203</v>
      </c>
      <c r="E59" t="s">
        <v>19</v>
      </c>
      <c r="G59" t="s">
        <v>20</v>
      </c>
      <c r="H59">
        <v>5000</v>
      </c>
      <c r="I59">
        <v>25</v>
      </c>
      <c r="J59">
        <v>0</v>
      </c>
      <c r="O59" t="s">
        <v>21</v>
      </c>
      <c r="P59" t="s">
        <v>2898</v>
      </c>
    </row>
    <row r="60" spans="1:16" x14ac:dyDescent="0.3">
      <c r="A60" t="s">
        <v>2899</v>
      </c>
      <c r="B60" s="1" t="s">
        <v>2900</v>
      </c>
      <c r="C60" t="s">
        <v>2736</v>
      </c>
      <c r="D60" t="s">
        <v>1203</v>
      </c>
      <c r="E60" t="s">
        <v>19</v>
      </c>
      <c r="G60" t="s">
        <v>20</v>
      </c>
      <c r="H60">
        <v>20000</v>
      </c>
      <c r="I60">
        <v>25</v>
      </c>
      <c r="J60">
        <v>0</v>
      </c>
      <c r="O60" t="s">
        <v>21</v>
      </c>
      <c r="P60" t="s">
        <v>2901</v>
      </c>
    </row>
    <row r="61" spans="1:16" x14ac:dyDescent="0.3">
      <c r="A61" t="s">
        <v>2902</v>
      </c>
      <c r="B61" s="1" t="s">
        <v>2903</v>
      </c>
      <c r="C61" t="s">
        <v>2736</v>
      </c>
      <c r="D61" t="s">
        <v>1203</v>
      </c>
      <c r="E61" t="s">
        <v>19</v>
      </c>
      <c r="G61" t="s">
        <v>20</v>
      </c>
      <c r="H61">
        <v>120000</v>
      </c>
      <c r="I61">
        <v>25</v>
      </c>
      <c r="J61">
        <v>0</v>
      </c>
      <c r="O61" t="s">
        <v>21</v>
      </c>
      <c r="P61" t="s">
        <v>2904</v>
      </c>
    </row>
    <row r="62" spans="1:16" x14ac:dyDescent="0.3">
      <c r="A62" t="s">
        <v>2905</v>
      </c>
      <c r="B62" s="1" t="s">
        <v>2906</v>
      </c>
      <c r="C62" t="s">
        <v>2736</v>
      </c>
      <c r="D62" t="s">
        <v>29</v>
      </c>
      <c r="E62" t="s">
        <v>19</v>
      </c>
      <c r="F62" t="s">
        <v>2907</v>
      </c>
      <c r="G62" t="s">
        <v>20</v>
      </c>
      <c r="H62">
        <v>25000</v>
      </c>
      <c r="I62">
        <v>82.25</v>
      </c>
      <c r="J62">
        <v>24917.75</v>
      </c>
      <c r="L62">
        <v>12</v>
      </c>
      <c r="M62">
        <v>2.25</v>
      </c>
      <c r="N62">
        <v>50</v>
      </c>
      <c r="O62" t="s">
        <v>21</v>
      </c>
      <c r="P62" t="s">
        <v>2908</v>
      </c>
    </row>
    <row r="63" spans="1:16" x14ac:dyDescent="0.3">
      <c r="A63" t="s">
        <v>2909</v>
      </c>
      <c r="B63" s="1" t="s">
        <v>2910</v>
      </c>
      <c r="C63" t="s">
        <v>2736</v>
      </c>
      <c r="D63" t="s">
        <v>29</v>
      </c>
      <c r="E63" t="s">
        <v>19</v>
      </c>
      <c r="F63" t="s">
        <v>2911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2912</v>
      </c>
    </row>
    <row r="64" spans="1:16" x14ac:dyDescent="0.3">
      <c r="A64" t="s">
        <v>2913</v>
      </c>
      <c r="B64" s="1" t="s">
        <v>2914</v>
      </c>
      <c r="C64" t="s">
        <v>2736</v>
      </c>
      <c r="D64" t="s">
        <v>29</v>
      </c>
      <c r="E64" t="s">
        <v>19</v>
      </c>
      <c r="F64" t="s">
        <v>2915</v>
      </c>
      <c r="G64" t="s">
        <v>20</v>
      </c>
      <c r="H64">
        <v>10000</v>
      </c>
      <c r="I64">
        <v>32.25</v>
      </c>
      <c r="J64">
        <v>9967.75</v>
      </c>
      <c r="L64">
        <v>12</v>
      </c>
      <c r="M64">
        <v>2.25</v>
      </c>
      <c r="N64">
        <v>0</v>
      </c>
      <c r="O64" t="s">
        <v>21</v>
      </c>
      <c r="P64" t="s">
        <v>2916</v>
      </c>
    </row>
    <row r="65" spans="1:16" x14ac:dyDescent="0.3">
      <c r="A65" t="s">
        <v>2917</v>
      </c>
      <c r="B65" s="1" t="s">
        <v>2918</v>
      </c>
      <c r="C65" t="s">
        <v>2736</v>
      </c>
      <c r="D65" t="s">
        <v>29</v>
      </c>
      <c r="E65" t="s">
        <v>19</v>
      </c>
      <c r="F65" t="s">
        <v>2919</v>
      </c>
      <c r="G65" t="s">
        <v>20</v>
      </c>
      <c r="H65">
        <v>15000</v>
      </c>
      <c r="I65">
        <v>82.25</v>
      </c>
      <c r="J65">
        <v>14917.75</v>
      </c>
      <c r="L65">
        <v>12</v>
      </c>
      <c r="M65">
        <v>2.25</v>
      </c>
      <c r="N65">
        <v>50</v>
      </c>
      <c r="O65" t="s">
        <v>21</v>
      </c>
      <c r="P65" t="s">
        <v>2920</v>
      </c>
    </row>
    <row r="66" spans="1:16" x14ac:dyDescent="0.3">
      <c r="A66" t="s">
        <v>2921</v>
      </c>
      <c r="B66" s="1" t="s">
        <v>2922</v>
      </c>
      <c r="C66" t="s">
        <v>2736</v>
      </c>
      <c r="D66" t="s">
        <v>29</v>
      </c>
      <c r="E66" t="s">
        <v>19</v>
      </c>
      <c r="F66" t="s">
        <v>2923</v>
      </c>
      <c r="G66" t="s">
        <v>20</v>
      </c>
      <c r="H66">
        <v>5000</v>
      </c>
      <c r="I66">
        <v>32.25</v>
      </c>
      <c r="J66">
        <v>4967.75</v>
      </c>
      <c r="L66">
        <v>12</v>
      </c>
      <c r="M66">
        <v>2.25</v>
      </c>
      <c r="N66">
        <v>0</v>
      </c>
      <c r="O66" t="s">
        <v>21</v>
      </c>
      <c r="P66" t="s">
        <v>2924</v>
      </c>
    </row>
    <row r="67" spans="1:16" x14ac:dyDescent="0.3">
      <c r="A67" t="e">
        <f>-KBHoEAnVXp6mY7F4VwRg</f>
        <v>#NAME?</v>
      </c>
      <c r="B67" s="1" t="s">
        <v>2925</v>
      </c>
      <c r="C67" t="s">
        <v>2736</v>
      </c>
      <c r="D67" t="s">
        <v>29</v>
      </c>
      <c r="E67" t="s">
        <v>19</v>
      </c>
      <c r="F67" t="s">
        <v>2926</v>
      </c>
      <c r="G67" t="s">
        <v>20</v>
      </c>
      <c r="H67">
        <v>8000</v>
      </c>
      <c r="I67">
        <v>32.25</v>
      </c>
      <c r="J67">
        <v>7967.75</v>
      </c>
      <c r="L67">
        <v>12</v>
      </c>
      <c r="M67">
        <v>2.25</v>
      </c>
      <c r="N67">
        <v>0</v>
      </c>
      <c r="O67" t="s">
        <v>21</v>
      </c>
      <c r="P67" t="s">
        <v>2927</v>
      </c>
    </row>
    <row r="68" spans="1:16" x14ac:dyDescent="0.3">
      <c r="A68" t="s">
        <v>2928</v>
      </c>
      <c r="B68" s="1" t="s">
        <v>2929</v>
      </c>
      <c r="C68" t="s">
        <v>2736</v>
      </c>
      <c r="D68" t="s">
        <v>29</v>
      </c>
      <c r="E68" t="s">
        <v>19</v>
      </c>
      <c r="F68" t="s">
        <v>2930</v>
      </c>
      <c r="G68" t="s">
        <v>20</v>
      </c>
      <c r="H68">
        <v>10000</v>
      </c>
      <c r="I68">
        <v>32.25</v>
      </c>
      <c r="J68">
        <v>9967.75</v>
      </c>
      <c r="L68">
        <v>12</v>
      </c>
      <c r="M68">
        <v>2.25</v>
      </c>
      <c r="N68">
        <v>0</v>
      </c>
      <c r="O68" t="s">
        <v>21</v>
      </c>
      <c r="P68" t="s">
        <v>2931</v>
      </c>
    </row>
    <row r="69" spans="1:16" x14ac:dyDescent="0.3">
      <c r="A69" t="s">
        <v>2932</v>
      </c>
      <c r="B69" s="1" t="s">
        <v>2933</v>
      </c>
      <c r="C69" t="s">
        <v>2736</v>
      </c>
      <c r="D69" t="s">
        <v>29</v>
      </c>
      <c r="E69" t="s">
        <v>19</v>
      </c>
      <c r="F69" t="s">
        <v>2934</v>
      </c>
      <c r="G69" t="s">
        <v>20</v>
      </c>
      <c r="H69">
        <v>5000</v>
      </c>
      <c r="I69">
        <v>32.25</v>
      </c>
      <c r="J69">
        <v>4967.75</v>
      </c>
      <c r="L69">
        <v>12</v>
      </c>
      <c r="M69">
        <v>2.25</v>
      </c>
      <c r="N69">
        <v>0</v>
      </c>
      <c r="O69" t="s">
        <v>21</v>
      </c>
      <c r="P69" t="s">
        <v>2935</v>
      </c>
    </row>
    <row r="70" spans="1:16" x14ac:dyDescent="0.3">
      <c r="A70" t="s">
        <v>2936</v>
      </c>
      <c r="B70" s="1" t="s">
        <v>2937</v>
      </c>
      <c r="C70" t="s">
        <v>2736</v>
      </c>
      <c r="D70" t="s">
        <v>29</v>
      </c>
      <c r="E70" t="s">
        <v>19</v>
      </c>
      <c r="F70" t="s">
        <v>2938</v>
      </c>
      <c r="G70" t="s">
        <v>20</v>
      </c>
      <c r="H70">
        <v>10000</v>
      </c>
      <c r="I70">
        <v>32.25</v>
      </c>
      <c r="J70">
        <v>9967.75</v>
      </c>
      <c r="L70">
        <v>12</v>
      </c>
      <c r="M70">
        <v>2.25</v>
      </c>
      <c r="N70">
        <v>0</v>
      </c>
      <c r="O70" t="s">
        <v>21</v>
      </c>
      <c r="P70" t="s">
        <v>2939</v>
      </c>
    </row>
    <row r="71" spans="1:16" x14ac:dyDescent="0.3">
      <c r="A71" t="s">
        <v>2940</v>
      </c>
      <c r="B71" s="1" t="s">
        <v>2941</v>
      </c>
      <c r="C71" t="s">
        <v>2736</v>
      </c>
      <c r="D71" t="s">
        <v>29</v>
      </c>
      <c r="E71" t="s">
        <v>19</v>
      </c>
      <c r="F71" t="s">
        <v>2942</v>
      </c>
      <c r="G71" t="s">
        <v>20</v>
      </c>
      <c r="H71">
        <v>10000</v>
      </c>
      <c r="I71">
        <v>32.25</v>
      </c>
      <c r="J71">
        <v>9967.75</v>
      </c>
      <c r="L71">
        <v>12</v>
      </c>
      <c r="M71">
        <v>2.25</v>
      </c>
      <c r="N71">
        <v>0</v>
      </c>
      <c r="O71" t="s">
        <v>21</v>
      </c>
      <c r="P71" t="s">
        <v>2943</v>
      </c>
    </row>
    <row r="72" spans="1:16" x14ac:dyDescent="0.3">
      <c r="A72" t="s">
        <v>2944</v>
      </c>
      <c r="B72" s="1" t="s">
        <v>2945</v>
      </c>
      <c r="C72" t="s">
        <v>2736</v>
      </c>
      <c r="D72" t="s">
        <v>29</v>
      </c>
      <c r="E72" t="s">
        <v>19</v>
      </c>
      <c r="F72" t="s">
        <v>2946</v>
      </c>
      <c r="G72" t="s">
        <v>20</v>
      </c>
      <c r="H72">
        <v>5000</v>
      </c>
      <c r="I72">
        <v>32.25</v>
      </c>
      <c r="J72">
        <v>4967.75</v>
      </c>
      <c r="L72">
        <v>12</v>
      </c>
      <c r="M72">
        <v>2.25</v>
      </c>
      <c r="N72">
        <v>0</v>
      </c>
      <c r="O72" t="s">
        <v>21</v>
      </c>
      <c r="P72" t="s">
        <v>2947</v>
      </c>
    </row>
    <row r="73" spans="1:16" x14ac:dyDescent="0.3">
      <c r="A73" t="s">
        <v>2948</v>
      </c>
      <c r="B73" s="1" t="s">
        <v>2949</v>
      </c>
      <c r="C73" t="s">
        <v>2736</v>
      </c>
      <c r="D73" t="s">
        <v>29</v>
      </c>
      <c r="E73" t="s">
        <v>19</v>
      </c>
      <c r="F73" t="s">
        <v>2950</v>
      </c>
      <c r="G73" t="s">
        <v>20</v>
      </c>
      <c r="H73">
        <v>9000</v>
      </c>
      <c r="I73">
        <v>32.25</v>
      </c>
      <c r="J73">
        <v>8967.75</v>
      </c>
      <c r="L73">
        <v>12</v>
      </c>
      <c r="M73">
        <v>2.25</v>
      </c>
      <c r="N73">
        <v>0</v>
      </c>
      <c r="O73" t="s">
        <v>21</v>
      </c>
      <c r="P73" t="s">
        <v>2951</v>
      </c>
    </row>
    <row r="74" spans="1:16" x14ac:dyDescent="0.3">
      <c r="A74" t="s">
        <v>2952</v>
      </c>
      <c r="B74" s="1" t="s">
        <v>2953</v>
      </c>
      <c r="C74" t="s">
        <v>2736</v>
      </c>
      <c r="D74" t="s">
        <v>29</v>
      </c>
      <c r="E74" t="s">
        <v>19</v>
      </c>
      <c r="F74" t="s">
        <v>2954</v>
      </c>
      <c r="G74" t="s">
        <v>20</v>
      </c>
      <c r="H74">
        <v>5000</v>
      </c>
      <c r="I74">
        <v>32.25</v>
      </c>
      <c r="J74">
        <v>4967.75</v>
      </c>
      <c r="L74">
        <v>12</v>
      </c>
      <c r="M74">
        <v>2.25</v>
      </c>
      <c r="N74">
        <v>0</v>
      </c>
      <c r="O74" t="s">
        <v>21</v>
      </c>
      <c r="P74" t="s">
        <v>2955</v>
      </c>
    </row>
    <row r="75" spans="1:16" x14ac:dyDescent="0.3">
      <c r="A75" t="s">
        <v>2956</v>
      </c>
      <c r="B75" s="1" t="s">
        <v>2957</v>
      </c>
      <c r="C75" t="s">
        <v>2736</v>
      </c>
      <c r="D75" t="s">
        <v>29</v>
      </c>
      <c r="E75" t="s">
        <v>19</v>
      </c>
      <c r="F75" t="s">
        <v>2958</v>
      </c>
      <c r="G75" t="s">
        <v>20</v>
      </c>
      <c r="H75">
        <v>15000</v>
      </c>
      <c r="I75">
        <v>82.25</v>
      </c>
      <c r="J75">
        <v>14917.75</v>
      </c>
      <c r="L75">
        <v>12</v>
      </c>
      <c r="M75">
        <v>2.25</v>
      </c>
      <c r="N75">
        <v>50</v>
      </c>
      <c r="O75" t="s">
        <v>21</v>
      </c>
      <c r="P75" t="s">
        <v>2959</v>
      </c>
    </row>
    <row r="76" spans="1:16" x14ac:dyDescent="0.3">
      <c r="A76" t="s">
        <v>2960</v>
      </c>
      <c r="B76" s="1" t="s">
        <v>2961</v>
      </c>
      <c r="C76" t="s">
        <v>2736</v>
      </c>
      <c r="D76" t="s">
        <v>1203</v>
      </c>
      <c r="E76" t="s">
        <v>19</v>
      </c>
      <c r="G76" t="s">
        <v>20</v>
      </c>
      <c r="H76">
        <v>2000</v>
      </c>
      <c r="I76">
        <v>25</v>
      </c>
      <c r="J76">
        <v>0</v>
      </c>
      <c r="O76" t="s">
        <v>21</v>
      </c>
      <c r="P76" t="s">
        <v>2962</v>
      </c>
    </row>
    <row r="77" spans="1:16" x14ac:dyDescent="0.3">
      <c r="A77" t="s">
        <v>2963</v>
      </c>
      <c r="B77" s="1" t="s">
        <v>2964</v>
      </c>
      <c r="C77" t="s">
        <v>2736</v>
      </c>
      <c r="D77" t="s">
        <v>1203</v>
      </c>
      <c r="E77" t="s">
        <v>19</v>
      </c>
      <c r="G77" t="s">
        <v>20</v>
      </c>
      <c r="H77">
        <v>75000</v>
      </c>
      <c r="I77">
        <v>25</v>
      </c>
      <c r="J77">
        <v>0</v>
      </c>
      <c r="O77" t="s">
        <v>21</v>
      </c>
      <c r="P77" t="s">
        <v>2965</v>
      </c>
    </row>
    <row r="78" spans="1:16" x14ac:dyDescent="0.3">
      <c r="A78" t="s">
        <v>2966</v>
      </c>
      <c r="C78" t="s">
        <v>2736</v>
      </c>
      <c r="D78" t="s">
        <v>1203</v>
      </c>
      <c r="E78" t="s">
        <v>19</v>
      </c>
      <c r="G78" t="s">
        <v>20</v>
      </c>
      <c r="H78">
        <v>75000</v>
      </c>
      <c r="I78">
        <v>25</v>
      </c>
      <c r="J78">
        <v>0</v>
      </c>
      <c r="O78" t="s">
        <v>412</v>
      </c>
      <c r="P78" t="s">
        <v>2967</v>
      </c>
    </row>
    <row r="79" spans="1:16" x14ac:dyDescent="0.3">
      <c r="A79" t="s">
        <v>2968</v>
      </c>
      <c r="C79" t="s">
        <v>2736</v>
      </c>
      <c r="D79" t="s">
        <v>1203</v>
      </c>
      <c r="E79" t="s">
        <v>19</v>
      </c>
      <c r="G79" t="s">
        <v>20</v>
      </c>
      <c r="H79">
        <v>75000</v>
      </c>
      <c r="I79">
        <v>25</v>
      </c>
      <c r="J79">
        <v>0</v>
      </c>
      <c r="O79" t="s">
        <v>412</v>
      </c>
      <c r="P79" t="s">
        <v>2969</v>
      </c>
    </row>
    <row r="80" spans="1:16" x14ac:dyDescent="0.3">
      <c r="A80" t="s">
        <v>2970</v>
      </c>
      <c r="C80" t="s">
        <v>2736</v>
      </c>
      <c r="D80" t="s">
        <v>1203</v>
      </c>
      <c r="E80" t="s">
        <v>19</v>
      </c>
      <c r="G80" t="s">
        <v>20</v>
      </c>
      <c r="H80">
        <v>75000</v>
      </c>
      <c r="I80">
        <v>25</v>
      </c>
      <c r="J80">
        <v>0</v>
      </c>
      <c r="O80" t="s">
        <v>412</v>
      </c>
      <c r="P80" t="s">
        <v>2971</v>
      </c>
    </row>
    <row r="81" spans="1:16" x14ac:dyDescent="0.3">
      <c r="A81" t="s">
        <v>2972</v>
      </c>
      <c r="C81" t="s">
        <v>2736</v>
      </c>
      <c r="D81" t="s">
        <v>1203</v>
      </c>
      <c r="E81" t="s">
        <v>19</v>
      </c>
      <c r="G81" t="s">
        <v>20</v>
      </c>
      <c r="H81">
        <v>75000</v>
      </c>
      <c r="I81">
        <v>25</v>
      </c>
      <c r="J81">
        <v>0</v>
      </c>
      <c r="O81" t="s">
        <v>412</v>
      </c>
      <c r="P81" t="s">
        <v>2973</v>
      </c>
    </row>
    <row r="82" spans="1:16" x14ac:dyDescent="0.3">
      <c r="A82" t="s">
        <v>2974</v>
      </c>
      <c r="C82" t="s">
        <v>2736</v>
      </c>
      <c r="D82" t="s">
        <v>1203</v>
      </c>
      <c r="E82" t="s">
        <v>19</v>
      </c>
      <c r="G82" t="s">
        <v>20</v>
      </c>
      <c r="H82">
        <v>75000</v>
      </c>
      <c r="I82">
        <v>25</v>
      </c>
      <c r="J82">
        <v>0</v>
      </c>
      <c r="O82" t="s">
        <v>412</v>
      </c>
      <c r="P82" t="s">
        <v>2975</v>
      </c>
    </row>
    <row r="83" spans="1:16" x14ac:dyDescent="0.3">
      <c r="A83" t="s">
        <v>2976</v>
      </c>
      <c r="C83" t="s">
        <v>2736</v>
      </c>
      <c r="D83" t="s">
        <v>1203</v>
      </c>
      <c r="E83" t="s">
        <v>19</v>
      </c>
      <c r="G83" t="s">
        <v>20</v>
      </c>
      <c r="H83">
        <v>75000</v>
      </c>
      <c r="I83">
        <v>25</v>
      </c>
      <c r="J83">
        <v>0</v>
      </c>
      <c r="O83" t="s">
        <v>412</v>
      </c>
      <c r="P83" t="s">
        <v>2977</v>
      </c>
    </row>
    <row r="84" spans="1:16" x14ac:dyDescent="0.3">
      <c r="A84" t="s">
        <v>2978</v>
      </c>
      <c r="C84" t="s">
        <v>2736</v>
      </c>
      <c r="D84" t="s">
        <v>1203</v>
      </c>
      <c r="E84" t="s">
        <v>19</v>
      </c>
      <c r="G84" t="s">
        <v>20</v>
      </c>
      <c r="H84">
        <v>75000</v>
      </c>
      <c r="I84">
        <v>25</v>
      </c>
      <c r="J84">
        <v>0</v>
      </c>
      <c r="O84" t="s">
        <v>412</v>
      </c>
      <c r="P84" t="s">
        <v>2979</v>
      </c>
    </row>
    <row r="85" spans="1:16" x14ac:dyDescent="0.3">
      <c r="A85" t="s">
        <v>2980</v>
      </c>
      <c r="C85" t="s">
        <v>2736</v>
      </c>
      <c r="D85" t="s">
        <v>1203</v>
      </c>
      <c r="E85" t="s">
        <v>19</v>
      </c>
      <c r="G85" t="s">
        <v>20</v>
      </c>
      <c r="H85">
        <v>75000</v>
      </c>
      <c r="I85">
        <v>25</v>
      </c>
      <c r="J85">
        <v>0</v>
      </c>
      <c r="O85" t="s">
        <v>412</v>
      </c>
      <c r="P85" t="s">
        <v>2981</v>
      </c>
    </row>
    <row r="86" spans="1:16" x14ac:dyDescent="0.3">
      <c r="A86" t="s">
        <v>2982</v>
      </c>
      <c r="C86" t="s">
        <v>2736</v>
      </c>
      <c r="D86" t="s">
        <v>1203</v>
      </c>
      <c r="E86" t="s">
        <v>19</v>
      </c>
      <c r="G86" t="s">
        <v>20</v>
      </c>
      <c r="H86">
        <v>75000</v>
      </c>
      <c r="I86">
        <v>25</v>
      </c>
      <c r="J86">
        <v>0</v>
      </c>
      <c r="O86" t="s">
        <v>412</v>
      </c>
      <c r="P86" t="s">
        <v>2983</v>
      </c>
    </row>
    <row r="87" spans="1:16" x14ac:dyDescent="0.3">
      <c r="A87" t="s">
        <v>2984</v>
      </c>
      <c r="C87" t="s">
        <v>2736</v>
      </c>
      <c r="D87" t="s">
        <v>1203</v>
      </c>
      <c r="E87" t="s">
        <v>19</v>
      </c>
      <c r="G87" t="s">
        <v>20</v>
      </c>
      <c r="H87">
        <v>75000</v>
      </c>
      <c r="I87">
        <v>25</v>
      </c>
      <c r="J87">
        <v>0</v>
      </c>
      <c r="O87" t="s">
        <v>412</v>
      </c>
      <c r="P87" t="s">
        <v>2985</v>
      </c>
    </row>
    <row r="88" spans="1:16" x14ac:dyDescent="0.3">
      <c r="A88" t="s">
        <v>2986</v>
      </c>
      <c r="C88" t="s">
        <v>2736</v>
      </c>
      <c r="D88" t="s">
        <v>1203</v>
      </c>
      <c r="E88" t="s">
        <v>19</v>
      </c>
      <c r="G88" t="s">
        <v>20</v>
      </c>
      <c r="H88">
        <v>75000</v>
      </c>
      <c r="I88">
        <v>25</v>
      </c>
      <c r="J88">
        <v>0</v>
      </c>
      <c r="O88" t="s">
        <v>412</v>
      </c>
      <c r="P88" t="s">
        <v>2987</v>
      </c>
    </row>
    <row r="89" spans="1:16" x14ac:dyDescent="0.3">
      <c r="A89" t="e">
        <f>-W0MkWDlMXHm4TexI9vQS</f>
        <v>#NAME?</v>
      </c>
      <c r="B89" s="1" t="s">
        <v>2988</v>
      </c>
      <c r="C89" t="s">
        <v>2736</v>
      </c>
      <c r="D89" t="s">
        <v>29</v>
      </c>
      <c r="E89" t="s">
        <v>19</v>
      </c>
      <c r="F89" t="s">
        <v>2989</v>
      </c>
      <c r="G89" t="s">
        <v>20</v>
      </c>
      <c r="H89">
        <v>61000</v>
      </c>
      <c r="I89">
        <v>32.25</v>
      </c>
      <c r="J89">
        <v>60967.75</v>
      </c>
      <c r="L89">
        <v>12</v>
      </c>
      <c r="M89">
        <v>2.25</v>
      </c>
      <c r="N89">
        <v>0</v>
      </c>
      <c r="O89" t="s">
        <v>21</v>
      </c>
      <c r="P89" t="s">
        <v>2990</v>
      </c>
    </row>
    <row r="90" spans="1:16" x14ac:dyDescent="0.3">
      <c r="A90" t="s">
        <v>2991</v>
      </c>
      <c r="B90" s="1" t="s">
        <v>2992</v>
      </c>
      <c r="C90" t="s">
        <v>2736</v>
      </c>
      <c r="D90" t="s">
        <v>29</v>
      </c>
      <c r="E90" t="s">
        <v>19</v>
      </c>
      <c r="F90" t="s">
        <v>2993</v>
      </c>
      <c r="G90" t="s">
        <v>20</v>
      </c>
      <c r="H90">
        <v>20000</v>
      </c>
      <c r="I90">
        <v>32.25</v>
      </c>
      <c r="J90">
        <v>19967.75</v>
      </c>
      <c r="L90">
        <v>12</v>
      </c>
      <c r="M90">
        <v>2.25</v>
      </c>
      <c r="N90">
        <v>0</v>
      </c>
      <c r="O90" t="s">
        <v>21</v>
      </c>
      <c r="P90" t="s">
        <v>2994</v>
      </c>
    </row>
    <row r="91" spans="1:16" x14ac:dyDescent="0.3">
      <c r="A91" t="s">
        <v>2995</v>
      </c>
      <c r="B91" s="1" t="s">
        <v>2996</v>
      </c>
      <c r="C91" t="s">
        <v>2736</v>
      </c>
      <c r="D91" t="s">
        <v>1203</v>
      </c>
      <c r="E91" t="s">
        <v>19</v>
      </c>
      <c r="G91" t="s">
        <v>20</v>
      </c>
      <c r="H91">
        <v>3000</v>
      </c>
      <c r="I91">
        <v>25</v>
      </c>
      <c r="J91">
        <v>0</v>
      </c>
      <c r="O91" t="s">
        <v>21</v>
      </c>
      <c r="P91" t="s">
        <v>2997</v>
      </c>
    </row>
    <row r="92" spans="1:16" x14ac:dyDescent="0.3">
      <c r="A92" t="s">
        <v>2998</v>
      </c>
      <c r="B92" s="1" t="s">
        <v>2999</v>
      </c>
      <c r="C92" t="s">
        <v>2736</v>
      </c>
      <c r="D92" t="s">
        <v>1203</v>
      </c>
      <c r="E92" t="s">
        <v>19</v>
      </c>
      <c r="G92" t="s">
        <v>20</v>
      </c>
      <c r="H92">
        <v>1000</v>
      </c>
      <c r="I92">
        <v>25</v>
      </c>
      <c r="J92">
        <v>0</v>
      </c>
      <c r="O92" t="s">
        <v>21</v>
      </c>
      <c r="P92" t="s">
        <v>3000</v>
      </c>
    </row>
    <row r="93" spans="1:16" x14ac:dyDescent="0.3">
      <c r="A93" t="s">
        <v>3001</v>
      </c>
      <c r="C93" t="s">
        <v>2736</v>
      </c>
      <c r="D93" t="s">
        <v>404</v>
      </c>
      <c r="E93" t="s">
        <v>19</v>
      </c>
      <c r="F93" t="s">
        <v>763</v>
      </c>
      <c r="G93" t="s">
        <v>20</v>
      </c>
      <c r="H93">
        <v>1094</v>
      </c>
      <c r="I93">
        <v>0</v>
      </c>
      <c r="J93">
        <v>0</v>
      </c>
      <c r="O93" t="s">
        <v>21</v>
      </c>
      <c r="P93" t="s">
        <v>3002</v>
      </c>
    </row>
    <row r="94" spans="1:16" x14ac:dyDescent="0.3">
      <c r="A94" t="s">
        <v>3003</v>
      </c>
      <c r="C94" t="s">
        <v>2736</v>
      </c>
      <c r="D94" t="s">
        <v>408</v>
      </c>
      <c r="E94" t="s">
        <v>409</v>
      </c>
      <c r="G94" t="s">
        <v>20</v>
      </c>
      <c r="H94">
        <v>1100</v>
      </c>
      <c r="I94">
        <v>5.9124999999999996</v>
      </c>
      <c r="J94">
        <v>1094.0875000000001</v>
      </c>
      <c r="O94" t="s">
        <v>21</v>
      </c>
      <c r="P94" t="s">
        <v>3004</v>
      </c>
    </row>
    <row r="95" spans="1:16" x14ac:dyDescent="0.3">
      <c r="A95" t="s">
        <v>3005</v>
      </c>
      <c r="B95" s="1" t="s">
        <v>3006</v>
      </c>
      <c r="C95" t="s">
        <v>2736</v>
      </c>
      <c r="D95" t="s">
        <v>29</v>
      </c>
      <c r="E95" t="s">
        <v>19</v>
      </c>
      <c r="F95" t="s">
        <v>3007</v>
      </c>
      <c r="G95" t="s">
        <v>20</v>
      </c>
      <c r="H95">
        <v>2000</v>
      </c>
      <c r="I95">
        <v>32.25</v>
      </c>
      <c r="J95">
        <v>1967.75</v>
      </c>
      <c r="L95">
        <v>12</v>
      </c>
      <c r="M95">
        <v>2.25</v>
      </c>
      <c r="N95">
        <v>0</v>
      </c>
      <c r="O95" t="s">
        <v>21</v>
      </c>
      <c r="P95" t="s">
        <v>3008</v>
      </c>
    </row>
    <row r="96" spans="1:16" x14ac:dyDescent="0.3">
      <c r="A96" t="s">
        <v>3009</v>
      </c>
      <c r="B96" s="1" t="s">
        <v>3010</v>
      </c>
      <c r="C96" t="s">
        <v>2736</v>
      </c>
      <c r="D96" t="s">
        <v>1203</v>
      </c>
      <c r="E96" t="s">
        <v>19</v>
      </c>
      <c r="G96" t="s">
        <v>20</v>
      </c>
      <c r="H96">
        <v>182000</v>
      </c>
      <c r="I96">
        <v>25</v>
      </c>
      <c r="J96">
        <v>0</v>
      </c>
      <c r="O96" t="s">
        <v>21</v>
      </c>
      <c r="P96" t="s">
        <v>3011</v>
      </c>
    </row>
    <row r="97" spans="1:16" x14ac:dyDescent="0.3">
      <c r="A97" t="s">
        <v>3012</v>
      </c>
      <c r="B97" s="1" t="s">
        <v>3013</v>
      </c>
      <c r="C97" t="s">
        <v>2736</v>
      </c>
      <c r="D97" t="s">
        <v>1203</v>
      </c>
      <c r="E97" t="s">
        <v>19</v>
      </c>
      <c r="G97" t="s">
        <v>20</v>
      </c>
      <c r="H97">
        <v>13000</v>
      </c>
      <c r="I97">
        <v>25</v>
      </c>
      <c r="J97">
        <v>0</v>
      </c>
      <c r="O97" t="s">
        <v>21</v>
      </c>
      <c r="P97" t="s">
        <v>3014</v>
      </c>
    </row>
    <row r="98" spans="1:16" x14ac:dyDescent="0.3">
      <c r="A98" t="s">
        <v>3015</v>
      </c>
      <c r="B98" s="1" t="s">
        <v>3016</v>
      </c>
      <c r="C98" t="s">
        <v>2736</v>
      </c>
      <c r="D98" t="s">
        <v>29</v>
      </c>
      <c r="E98" t="s">
        <v>19</v>
      </c>
      <c r="F98" t="s">
        <v>3017</v>
      </c>
      <c r="G98" t="s">
        <v>20</v>
      </c>
      <c r="H98">
        <v>13000</v>
      </c>
      <c r="I98">
        <v>32.25</v>
      </c>
      <c r="J98">
        <v>12967.75</v>
      </c>
      <c r="L98">
        <v>12</v>
      </c>
      <c r="M98">
        <v>2.25</v>
      </c>
      <c r="N98">
        <v>0</v>
      </c>
      <c r="O98" t="s">
        <v>21</v>
      </c>
      <c r="P98" t="s">
        <v>3018</v>
      </c>
    </row>
    <row r="99" spans="1:16" x14ac:dyDescent="0.3">
      <c r="A99" t="s">
        <v>3019</v>
      </c>
      <c r="B99" s="1" t="s">
        <v>3020</v>
      </c>
      <c r="C99" t="s">
        <v>2736</v>
      </c>
      <c r="D99" t="s">
        <v>29</v>
      </c>
      <c r="E99" t="s">
        <v>19</v>
      </c>
      <c r="F99" t="s">
        <v>3021</v>
      </c>
      <c r="G99" t="s">
        <v>20</v>
      </c>
      <c r="H99">
        <v>30000</v>
      </c>
      <c r="I99">
        <v>32.25</v>
      </c>
      <c r="J99">
        <v>29967.75</v>
      </c>
      <c r="L99">
        <v>12</v>
      </c>
      <c r="M99">
        <v>2.25</v>
      </c>
      <c r="N99">
        <v>0</v>
      </c>
      <c r="O99" t="s">
        <v>21</v>
      </c>
      <c r="P99" t="s">
        <v>3022</v>
      </c>
    </row>
    <row r="100" spans="1:16" x14ac:dyDescent="0.3">
      <c r="A100" t="s">
        <v>3023</v>
      </c>
      <c r="B100" s="1" t="s">
        <v>3024</v>
      </c>
      <c r="C100" t="s">
        <v>2736</v>
      </c>
      <c r="D100" t="s">
        <v>29</v>
      </c>
      <c r="E100" t="s">
        <v>19</v>
      </c>
      <c r="F100" t="s">
        <v>3025</v>
      </c>
      <c r="G100" t="s">
        <v>20</v>
      </c>
      <c r="H100">
        <v>1000</v>
      </c>
      <c r="I100">
        <v>32.25</v>
      </c>
      <c r="J100">
        <v>967.75</v>
      </c>
      <c r="L100">
        <v>12</v>
      </c>
      <c r="M100">
        <v>2.25</v>
      </c>
      <c r="N100">
        <v>0</v>
      </c>
      <c r="O100" t="s">
        <v>21</v>
      </c>
      <c r="P100" t="s">
        <v>3026</v>
      </c>
    </row>
    <row r="101" spans="1:16" x14ac:dyDescent="0.3">
      <c r="A101" t="s">
        <v>3027</v>
      </c>
      <c r="B101" s="1" t="s">
        <v>3028</v>
      </c>
      <c r="C101" t="s">
        <v>2736</v>
      </c>
      <c r="D101" t="s">
        <v>29</v>
      </c>
      <c r="E101" t="s">
        <v>19</v>
      </c>
      <c r="F101" t="s">
        <v>3029</v>
      </c>
      <c r="G101" t="s">
        <v>20</v>
      </c>
      <c r="H101">
        <v>5000</v>
      </c>
      <c r="I101">
        <v>32.25</v>
      </c>
      <c r="J101">
        <v>4967.75</v>
      </c>
      <c r="L101">
        <v>12</v>
      </c>
      <c r="M101">
        <v>2.25</v>
      </c>
      <c r="N101">
        <v>0</v>
      </c>
      <c r="O101" t="s">
        <v>21</v>
      </c>
      <c r="P101" t="s">
        <v>3030</v>
      </c>
    </row>
    <row r="102" spans="1:16" x14ac:dyDescent="0.3">
      <c r="A102" t="s">
        <v>3031</v>
      </c>
      <c r="B102" s="1" t="s">
        <v>3032</v>
      </c>
      <c r="C102" t="s">
        <v>2736</v>
      </c>
      <c r="D102" t="s">
        <v>29</v>
      </c>
      <c r="E102" t="s">
        <v>19</v>
      </c>
      <c r="F102" t="s">
        <v>3033</v>
      </c>
      <c r="G102" t="s">
        <v>20</v>
      </c>
      <c r="H102">
        <v>1000</v>
      </c>
      <c r="I102">
        <v>32.25</v>
      </c>
      <c r="J102">
        <v>967.75</v>
      </c>
      <c r="L102">
        <v>12</v>
      </c>
      <c r="M102">
        <v>2.25</v>
      </c>
      <c r="N102">
        <v>0</v>
      </c>
      <c r="O102" t="s">
        <v>21</v>
      </c>
      <c r="P102" t="s">
        <v>3034</v>
      </c>
    </row>
    <row r="103" spans="1:16" x14ac:dyDescent="0.3">
      <c r="A103" t="s">
        <v>3035</v>
      </c>
      <c r="B103" s="1" t="s">
        <v>3036</v>
      </c>
      <c r="C103" t="s">
        <v>2736</v>
      </c>
      <c r="D103" t="s">
        <v>29</v>
      </c>
      <c r="E103" t="s">
        <v>19</v>
      </c>
      <c r="F103" t="s">
        <v>3037</v>
      </c>
      <c r="G103" t="s">
        <v>20</v>
      </c>
      <c r="H103">
        <v>4000</v>
      </c>
      <c r="I103">
        <v>32.25</v>
      </c>
      <c r="J103">
        <v>3967.75</v>
      </c>
      <c r="L103">
        <v>12</v>
      </c>
      <c r="M103">
        <v>2.25</v>
      </c>
      <c r="N103">
        <v>0</v>
      </c>
      <c r="O103" t="s">
        <v>21</v>
      </c>
      <c r="P103" t="s">
        <v>3038</v>
      </c>
    </row>
    <row r="104" spans="1:16" x14ac:dyDescent="0.3">
      <c r="A104" t="s">
        <v>3039</v>
      </c>
      <c r="B104" s="1" t="s">
        <v>3040</v>
      </c>
      <c r="C104" t="s">
        <v>2736</v>
      </c>
      <c r="D104" t="s">
        <v>29</v>
      </c>
      <c r="E104" t="s">
        <v>19</v>
      </c>
      <c r="F104" t="s">
        <v>3041</v>
      </c>
      <c r="G104" t="s">
        <v>20</v>
      </c>
      <c r="H104">
        <v>1000</v>
      </c>
      <c r="I104">
        <v>32.25</v>
      </c>
      <c r="J104">
        <v>967.75</v>
      </c>
      <c r="L104">
        <v>12</v>
      </c>
      <c r="M104">
        <v>2.25</v>
      </c>
      <c r="N104">
        <v>0</v>
      </c>
      <c r="O104" t="s">
        <v>21</v>
      </c>
      <c r="P104" t="s">
        <v>3042</v>
      </c>
    </row>
    <row r="105" spans="1:16" x14ac:dyDescent="0.3">
      <c r="A105" t="s">
        <v>3043</v>
      </c>
      <c r="B105" s="1" t="s">
        <v>3044</v>
      </c>
      <c r="C105" t="s">
        <v>2736</v>
      </c>
      <c r="D105" t="s">
        <v>29</v>
      </c>
      <c r="E105" t="s">
        <v>19</v>
      </c>
      <c r="F105" t="s">
        <v>3045</v>
      </c>
      <c r="G105" t="s">
        <v>20</v>
      </c>
      <c r="H105">
        <v>5000</v>
      </c>
      <c r="I105">
        <v>32.25</v>
      </c>
      <c r="J105">
        <v>4967.75</v>
      </c>
      <c r="L105">
        <v>12</v>
      </c>
      <c r="M105">
        <v>2.25</v>
      </c>
      <c r="N105">
        <v>0</v>
      </c>
      <c r="O105" t="s">
        <v>21</v>
      </c>
      <c r="P105" t="s">
        <v>3046</v>
      </c>
    </row>
    <row r="106" spans="1:16" x14ac:dyDescent="0.3">
      <c r="A106" t="s">
        <v>3047</v>
      </c>
      <c r="B106" s="1" t="s">
        <v>3048</v>
      </c>
      <c r="C106" t="s">
        <v>2736</v>
      </c>
      <c r="D106" t="s">
        <v>29</v>
      </c>
      <c r="E106" t="s">
        <v>19</v>
      </c>
      <c r="F106" t="s">
        <v>3049</v>
      </c>
      <c r="G106" t="s">
        <v>20</v>
      </c>
      <c r="H106">
        <v>1000</v>
      </c>
      <c r="I106">
        <v>32.25</v>
      </c>
      <c r="J106">
        <v>967.75</v>
      </c>
      <c r="L106">
        <v>12</v>
      </c>
      <c r="M106">
        <v>2.25</v>
      </c>
      <c r="N106">
        <v>0</v>
      </c>
      <c r="O106" t="s">
        <v>21</v>
      </c>
      <c r="P106" t="s">
        <v>3050</v>
      </c>
    </row>
    <row r="107" spans="1:16" x14ac:dyDescent="0.3">
      <c r="A107" t="s">
        <v>3051</v>
      </c>
      <c r="B107" s="1" t="s">
        <v>3052</v>
      </c>
      <c r="C107" t="s">
        <v>2736</v>
      </c>
      <c r="D107" t="s">
        <v>29</v>
      </c>
      <c r="E107" t="s">
        <v>19</v>
      </c>
      <c r="F107" t="s">
        <v>3053</v>
      </c>
      <c r="G107" t="s">
        <v>20</v>
      </c>
      <c r="H107">
        <v>2000</v>
      </c>
      <c r="I107">
        <v>32.25</v>
      </c>
      <c r="J107">
        <v>1967.75</v>
      </c>
      <c r="L107">
        <v>12</v>
      </c>
      <c r="M107">
        <v>2.25</v>
      </c>
      <c r="N107">
        <v>0</v>
      </c>
      <c r="O107" t="s">
        <v>21</v>
      </c>
      <c r="P107" t="s">
        <v>3054</v>
      </c>
    </row>
    <row r="108" spans="1:16" x14ac:dyDescent="0.3">
      <c r="A108" t="s">
        <v>3055</v>
      </c>
      <c r="B108" s="1" t="s">
        <v>3056</v>
      </c>
      <c r="C108" t="s">
        <v>2736</v>
      </c>
      <c r="D108" t="s">
        <v>29</v>
      </c>
      <c r="E108" t="s">
        <v>19</v>
      </c>
      <c r="F108" t="s">
        <v>3057</v>
      </c>
      <c r="G108" t="s">
        <v>20</v>
      </c>
      <c r="H108">
        <v>1000</v>
      </c>
      <c r="I108">
        <v>32.25</v>
      </c>
      <c r="J108">
        <v>967.75</v>
      </c>
      <c r="L108">
        <v>12</v>
      </c>
      <c r="M108">
        <v>2.25</v>
      </c>
      <c r="N108">
        <v>0</v>
      </c>
      <c r="O108" t="s">
        <v>21</v>
      </c>
      <c r="P108" t="s">
        <v>3058</v>
      </c>
    </row>
    <row r="109" spans="1:16" x14ac:dyDescent="0.3">
      <c r="A109" t="s">
        <v>3059</v>
      </c>
      <c r="C109" t="s">
        <v>2736</v>
      </c>
      <c r="D109" t="s">
        <v>404</v>
      </c>
      <c r="E109" t="s">
        <v>19</v>
      </c>
      <c r="F109" t="s">
        <v>892</v>
      </c>
      <c r="G109" t="s">
        <v>20</v>
      </c>
      <c r="H109">
        <v>47742</v>
      </c>
      <c r="I109">
        <v>0</v>
      </c>
      <c r="J109">
        <v>0</v>
      </c>
      <c r="O109" t="s">
        <v>21</v>
      </c>
      <c r="P109" t="s">
        <v>3060</v>
      </c>
    </row>
    <row r="110" spans="1:16" x14ac:dyDescent="0.3">
      <c r="A110" t="s">
        <v>3061</v>
      </c>
      <c r="B110" s="1" t="s">
        <v>3062</v>
      </c>
      <c r="C110" t="s">
        <v>2736</v>
      </c>
      <c r="D110" t="s">
        <v>29</v>
      </c>
      <c r="E110" t="s">
        <v>19</v>
      </c>
      <c r="F110" t="s">
        <v>3063</v>
      </c>
      <c r="G110" t="s">
        <v>20</v>
      </c>
      <c r="H110">
        <v>7000</v>
      </c>
      <c r="I110">
        <v>32.25</v>
      </c>
      <c r="J110">
        <v>6967.75</v>
      </c>
      <c r="L110">
        <v>12</v>
      </c>
      <c r="M110">
        <v>2.25</v>
      </c>
      <c r="N110">
        <v>0</v>
      </c>
      <c r="O110" t="s">
        <v>21</v>
      </c>
      <c r="P110" t="s">
        <v>3064</v>
      </c>
    </row>
    <row r="111" spans="1:16" x14ac:dyDescent="0.3">
      <c r="A111" t="s">
        <v>3065</v>
      </c>
      <c r="B111" s="1" t="s">
        <v>3066</v>
      </c>
      <c r="C111" t="s">
        <v>2736</v>
      </c>
      <c r="D111" t="s">
        <v>29</v>
      </c>
      <c r="E111" t="s">
        <v>19</v>
      </c>
      <c r="F111" t="s">
        <v>3067</v>
      </c>
      <c r="G111" t="s">
        <v>20</v>
      </c>
      <c r="H111">
        <v>10000</v>
      </c>
      <c r="I111">
        <v>32.25</v>
      </c>
      <c r="J111">
        <v>9967.75</v>
      </c>
      <c r="L111">
        <v>12</v>
      </c>
      <c r="M111">
        <v>2.25</v>
      </c>
      <c r="N111">
        <v>0</v>
      </c>
      <c r="O111" t="s">
        <v>21</v>
      </c>
      <c r="P111" t="s">
        <v>3068</v>
      </c>
    </row>
    <row r="112" spans="1:16" x14ac:dyDescent="0.3">
      <c r="A112" t="s">
        <v>3069</v>
      </c>
      <c r="B112" s="1" t="s">
        <v>3070</v>
      </c>
      <c r="C112" t="s">
        <v>2736</v>
      </c>
      <c r="D112" t="s">
        <v>1203</v>
      </c>
      <c r="E112" t="s">
        <v>19</v>
      </c>
      <c r="G112" t="s">
        <v>20</v>
      </c>
      <c r="H112">
        <v>20000</v>
      </c>
      <c r="I112">
        <v>25</v>
      </c>
      <c r="J112">
        <v>0</v>
      </c>
      <c r="O112" t="s">
        <v>21</v>
      </c>
      <c r="P112" t="s">
        <v>3071</v>
      </c>
    </row>
    <row r="113" spans="1:16" x14ac:dyDescent="0.3">
      <c r="A113" t="s">
        <v>3072</v>
      </c>
      <c r="B113" s="1" t="s">
        <v>3073</v>
      </c>
      <c r="C113" t="s">
        <v>2736</v>
      </c>
      <c r="D113" t="s">
        <v>29</v>
      </c>
      <c r="E113" t="s">
        <v>19</v>
      </c>
      <c r="F113" t="s">
        <v>3074</v>
      </c>
      <c r="G113" t="s">
        <v>20</v>
      </c>
      <c r="H113">
        <v>5000</v>
      </c>
      <c r="I113">
        <v>32.25</v>
      </c>
      <c r="J113">
        <v>4967.75</v>
      </c>
      <c r="L113">
        <v>12</v>
      </c>
      <c r="M113">
        <v>2.25</v>
      </c>
      <c r="N113">
        <v>0</v>
      </c>
      <c r="O113" t="s">
        <v>21</v>
      </c>
      <c r="P113" t="s">
        <v>3075</v>
      </c>
    </row>
    <row r="114" spans="1:16" x14ac:dyDescent="0.3">
      <c r="A114" t="s">
        <v>3076</v>
      </c>
      <c r="C114" t="s">
        <v>2736</v>
      </c>
      <c r="D114" t="s">
        <v>29</v>
      </c>
      <c r="E114" t="s">
        <v>409</v>
      </c>
      <c r="G114" t="s">
        <v>20</v>
      </c>
      <c r="H114">
        <v>2000</v>
      </c>
      <c r="I114">
        <v>10.75</v>
      </c>
      <c r="J114">
        <v>1989.25</v>
      </c>
      <c r="O114" t="s">
        <v>21</v>
      </c>
      <c r="P114" t="s">
        <v>3077</v>
      </c>
    </row>
    <row r="115" spans="1:16" x14ac:dyDescent="0.3">
      <c r="A115" t="s">
        <v>3078</v>
      </c>
      <c r="C115" t="s">
        <v>2736</v>
      </c>
      <c r="D115" t="s">
        <v>29</v>
      </c>
      <c r="E115" t="s">
        <v>409</v>
      </c>
      <c r="G115" t="s">
        <v>20</v>
      </c>
      <c r="H115">
        <v>17000</v>
      </c>
      <c r="I115">
        <v>91.375</v>
      </c>
      <c r="J115">
        <v>16908.625</v>
      </c>
      <c r="O115" t="s">
        <v>21</v>
      </c>
      <c r="P115" t="s">
        <v>3079</v>
      </c>
    </row>
    <row r="116" spans="1:16" x14ac:dyDescent="0.3">
      <c r="A116" t="s">
        <v>3080</v>
      </c>
      <c r="B116" s="1" t="s">
        <v>3081</v>
      </c>
      <c r="C116" t="s">
        <v>2736</v>
      </c>
      <c r="D116" t="s">
        <v>29</v>
      </c>
      <c r="E116" t="s">
        <v>19</v>
      </c>
      <c r="F116" t="s">
        <v>3082</v>
      </c>
      <c r="G116" t="s">
        <v>20</v>
      </c>
      <c r="H116">
        <v>3000</v>
      </c>
      <c r="I116">
        <v>32.25</v>
      </c>
      <c r="J116">
        <v>2967.75</v>
      </c>
      <c r="L116">
        <v>12</v>
      </c>
      <c r="M116">
        <v>2.25</v>
      </c>
      <c r="N116">
        <v>0</v>
      </c>
      <c r="O116" t="s">
        <v>21</v>
      </c>
      <c r="P116" t="s">
        <v>3083</v>
      </c>
    </row>
    <row r="117" spans="1:16" x14ac:dyDescent="0.3">
      <c r="A117" t="s">
        <v>3084</v>
      </c>
      <c r="B117" s="1" t="s">
        <v>3085</v>
      </c>
      <c r="C117" t="s">
        <v>2736</v>
      </c>
      <c r="D117" t="s">
        <v>29</v>
      </c>
      <c r="E117" t="s">
        <v>19</v>
      </c>
      <c r="F117" t="s">
        <v>3086</v>
      </c>
      <c r="G117" t="s">
        <v>20</v>
      </c>
      <c r="H117">
        <v>10000</v>
      </c>
      <c r="I117">
        <v>32.25</v>
      </c>
      <c r="J117">
        <v>9967.75</v>
      </c>
      <c r="L117">
        <v>12</v>
      </c>
      <c r="M117">
        <v>2.25</v>
      </c>
      <c r="N117">
        <v>0</v>
      </c>
      <c r="O117" t="s">
        <v>21</v>
      </c>
      <c r="P117" t="s">
        <v>3087</v>
      </c>
    </row>
    <row r="118" spans="1:16" x14ac:dyDescent="0.3">
      <c r="A118" t="s">
        <v>3088</v>
      </c>
      <c r="B118" s="1" t="s">
        <v>3089</v>
      </c>
      <c r="C118" t="s">
        <v>2736</v>
      </c>
      <c r="D118" t="s">
        <v>29</v>
      </c>
      <c r="E118" t="s">
        <v>19</v>
      </c>
      <c r="F118" t="s">
        <v>3090</v>
      </c>
      <c r="G118" t="s">
        <v>20</v>
      </c>
      <c r="H118">
        <v>15000</v>
      </c>
      <c r="I118">
        <v>32.25</v>
      </c>
      <c r="J118">
        <v>14967.75</v>
      </c>
      <c r="L118">
        <v>12</v>
      </c>
      <c r="M118">
        <v>2.25</v>
      </c>
      <c r="N118">
        <v>0</v>
      </c>
      <c r="O118" t="s">
        <v>21</v>
      </c>
      <c r="P118" t="s">
        <v>3091</v>
      </c>
    </row>
    <row r="119" spans="1:16" x14ac:dyDescent="0.3">
      <c r="A119" t="s">
        <v>3092</v>
      </c>
      <c r="B119" s="1" t="s">
        <v>3093</v>
      </c>
      <c r="C119" t="s">
        <v>2736</v>
      </c>
      <c r="D119" t="s">
        <v>29</v>
      </c>
      <c r="E119" t="s">
        <v>19</v>
      </c>
      <c r="F119" t="s">
        <v>3094</v>
      </c>
      <c r="G119" t="s">
        <v>20</v>
      </c>
      <c r="H119">
        <v>5000</v>
      </c>
      <c r="I119">
        <v>32.25</v>
      </c>
      <c r="J119">
        <v>4967.75</v>
      </c>
      <c r="L119">
        <v>12</v>
      </c>
      <c r="M119">
        <v>2.25</v>
      </c>
      <c r="N119">
        <v>0</v>
      </c>
      <c r="O119" t="s">
        <v>21</v>
      </c>
      <c r="P119" t="s">
        <v>3095</v>
      </c>
    </row>
    <row r="120" spans="1:16" x14ac:dyDescent="0.3">
      <c r="A120" t="s">
        <v>3096</v>
      </c>
      <c r="C120" t="s">
        <v>2736</v>
      </c>
      <c r="D120" t="s">
        <v>29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3097</v>
      </c>
    </row>
    <row r="121" spans="1:16" x14ac:dyDescent="0.3">
      <c r="A121" t="s">
        <v>3098</v>
      </c>
      <c r="C121" t="s">
        <v>2736</v>
      </c>
      <c r="D121" t="s">
        <v>29</v>
      </c>
      <c r="E121" t="s">
        <v>409</v>
      </c>
      <c r="G121" t="s">
        <v>20</v>
      </c>
      <c r="H121">
        <v>5000</v>
      </c>
      <c r="I121" s="1" t="s">
        <v>1275</v>
      </c>
      <c r="J121">
        <v>4973.125</v>
      </c>
      <c r="O121" t="s">
        <v>21</v>
      </c>
      <c r="P121" t="s">
        <v>3099</v>
      </c>
    </row>
    <row r="122" spans="1:16" x14ac:dyDescent="0.3">
      <c r="A122" t="s">
        <v>3100</v>
      </c>
      <c r="B122" s="1" t="s">
        <v>3101</v>
      </c>
      <c r="C122" t="s">
        <v>2736</v>
      </c>
      <c r="D122" t="s">
        <v>29</v>
      </c>
      <c r="E122" t="s">
        <v>19</v>
      </c>
      <c r="F122" t="s">
        <v>3102</v>
      </c>
      <c r="G122" t="s">
        <v>20</v>
      </c>
      <c r="H122">
        <v>10000</v>
      </c>
      <c r="I122">
        <v>32.25</v>
      </c>
      <c r="J122">
        <v>9967.75</v>
      </c>
      <c r="L122">
        <v>12</v>
      </c>
      <c r="M122">
        <v>2.25</v>
      </c>
      <c r="N122">
        <v>0</v>
      </c>
      <c r="O122" t="s">
        <v>21</v>
      </c>
      <c r="P122" t="s">
        <v>3103</v>
      </c>
    </row>
    <row r="123" spans="1:16" x14ac:dyDescent="0.3">
      <c r="A123" t="s">
        <v>3104</v>
      </c>
      <c r="B123" s="1" t="s">
        <v>3105</v>
      </c>
      <c r="C123" t="s">
        <v>2736</v>
      </c>
      <c r="D123" t="s">
        <v>29</v>
      </c>
      <c r="E123" t="s">
        <v>19</v>
      </c>
      <c r="F123" t="s">
        <v>3106</v>
      </c>
      <c r="G123" t="s">
        <v>20</v>
      </c>
      <c r="H123">
        <v>20000</v>
      </c>
      <c r="I123">
        <v>32.25</v>
      </c>
      <c r="J123">
        <v>19967.75</v>
      </c>
      <c r="L123">
        <v>12</v>
      </c>
      <c r="M123">
        <v>2.25</v>
      </c>
      <c r="N123">
        <v>0</v>
      </c>
      <c r="O123" t="s">
        <v>21</v>
      </c>
      <c r="P123" t="s">
        <v>3107</v>
      </c>
    </row>
    <row r="124" spans="1:16" x14ac:dyDescent="0.3">
      <c r="A124" t="s">
        <v>3108</v>
      </c>
      <c r="C124" t="s">
        <v>2736</v>
      </c>
      <c r="D124" t="s">
        <v>29</v>
      </c>
      <c r="E124" t="s">
        <v>409</v>
      </c>
      <c r="G124" t="s">
        <v>20</v>
      </c>
      <c r="H124">
        <v>15000</v>
      </c>
      <c r="I124">
        <v>80.625</v>
      </c>
      <c r="J124">
        <v>14919.375</v>
      </c>
      <c r="O124" t="s">
        <v>21</v>
      </c>
      <c r="P124" t="s">
        <v>3109</v>
      </c>
    </row>
    <row r="125" spans="1:16" x14ac:dyDescent="0.3">
      <c r="A125" t="s">
        <v>3110</v>
      </c>
      <c r="C125" t="s">
        <v>2736</v>
      </c>
      <c r="D125" t="s">
        <v>29</v>
      </c>
      <c r="E125" t="s">
        <v>409</v>
      </c>
      <c r="G125" t="s">
        <v>20</v>
      </c>
      <c r="H125">
        <v>5000</v>
      </c>
      <c r="I125" s="1" t="s">
        <v>1275</v>
      </c>
      <c r="J125">
        <v>4973.125</v>
      </c>
      <c r="O125" t="s">
        <v>21</v>
      </c>
      <c r="P125" t="s">
        <v>3111</v>
      </c>
    </row>
    <row r="126" spans="1:16" x14ac:dyDescent="0.3">
      <c r="A126" t="s">
        <v>3112</v>
      </c>
      <c r="C126" t="s">
        <v>2736</v>
      </c>
      <c r="D126" t="s">
        <v>404</v>
      </c>
      <c r="E126" t="s">
        <v>19</v>
      </c>
      <c r="F126" t="s">
        <v>942</v>
      </c>
      <c r="G126" t="s">
        <v>20</v>
      </c>
      <c r="H126">
        <v>19892</v>
      </c>
      <c r="I126">
        <v>0</v>
      </c>
      <c r="J126">
        <v>0</v>
      </c>
      <c r="O126" t="s">
        <v>21</v>
      </c>
      <c r="P126" t="s">
        <v>3113</v>
      </c>
    </row>
    <row r="127" spans="1:16" x14ac:dyDescent="0.3">
      <c r="A127" t="s">
        <v>3114</v>
      </c>
      <c r="C127" t="s">
        <v>2736</v>
      </c>
      <c r="D127" t="s">
        <v>29</v>
      </c>
      <c r="E127" t="s">
        <v>409</v>
      </c>
      <c r="G127" t="s">
        <v>20</v>
      </c>
      <c r="H127">
        <v>20000</v>
      </c>
      <c r="I127" s="1" t="s">
        <v>2155</v>
      </c>
      <c r="J127">
        <v>19892.5</v>
      </c>
      <c r="O127" t="s">
        <v>21</v>
      </c>
      <c r="P127" t="s">
        <v>3115</v>
      </c>
    </row>
    <row r="128" spans="1:16" x14ac:dyDescent="0.3">
      <c r="A128" t="s">
        <v>3116</v>
      </c>
      <c r="B128" s="1" t="s">
        <v>3117</v>
      </c>
      <c r="C128" t="s">
        <v>2736</v>
      </c>
      <c r="D128" t="s">
        <v>1203</v>
      </c>
      <c r="E128" t="s">
        <v>19</v>
      </c>
      <c r="G128" t="s">
        <v>20</v>
      </c>
      <c r="H128">
        <v>500</v>
      </c>
      <c r="I128">
        <v>25</v>
      </c>
      <c r="J128">
        <v>0</v>
      </c>
      <c r="O128" t="s">
        <v>21</v>
      </c>
      <c r="P128" t="s">
        <v>3118</v>
      </c>
    </row>
    <row r="129" spans="1:16" x14ac:dyDescent="0.3">
      <c r="A129" t="s">
        <v>3119</v>
      </c>
      <c r="B129" s="1" t="s">
        <v>3120</v>
      </c>
      <c r="C129" t="s">
        <v>2736</v>
      </c>
      <c r="D129" t="s">
        <v>1203</v>
      </c>
      <c r="E129" t="s">
        <v>19</v>
      </c>
      <c r="G129" t="s">
        <v>20</v>
      </c>
      <c r="H129">
        <v>75000</v>
      </c>
      <c r="I129">
        <v>25</v>
      </c>
      <c r="J129">
        <v>0</v>
      </c>
      <c r="O129" t="s">
        <v>21</v>
      </c>
      <c r="P129" t="s">
        <v>3121</v>
      </c>
    </row>
    <row r="130" spans="1:16" x14ac:dyDescent="0.3">
      <c r="A130" t="s">
        <v>3122</v>
      </c>
      <c r="C130" t="s">
        <v>2736</v>
      </c>
      <c r="D130" t="s">
        <v>404</v>
      </c>
      <c r="E130" t="s">
        <v>19</v>
      </c>
      <c r="F130" t="s">
        <v>2197</v>
      </c>
      <c r="G130" t="s">
        <v>20</v>
      </c>
      <c r="H130">
        <v>10045</v>
      </c>
      <c r="I130">
        <v>0</v>
      </c>
      <c r="J130">
        <v>0</v>
      </c>
      <c r="O130" t="s">
        <v>21</v>
      </c>
      <c r="P130" t="s">
        <v>3123</v>
      </c>
    </row>
    <row r="131" spans="1:16" x14ac:dyDescent="0.3">
      <c r="A131" t="s">
        <v>3124</v>
      </c>
      <c r="B131" s="1" t="s">
        <v>3125</v>
      </c>
      <c r="C131" t="s">
        <v>2736</v>
      </c>
      <c r="D131" t="s">
        <v>1203</v>
      </c>
      <c r="E131" t="s">
        <v>19</v>
      </c>
      <c r="G131" t="s">
        <v>20</v>
      </c>
      <c r="H131">
        <v>15000</v>
      </c>
      <c r="I131">
        <v>25</v>
      </c>
      <c r="J131">
        <v>0</v>
      </c>
      <c r="O131" t="s">
        <v>21</v>
      </c>
      <c r="P131" t="s">
        <v>3126</v>
      </c>
    </row>
    <row r="132" spans="1:16" x14ac:dyDescent="0.3">
      <c r="A132" t="s">
        <v>3127</v>
      </c>
      <c r="C132" t="s">
        <v>2736</v>
      </c>
      <c r="D132" t="s">
        <v>29</v>
      </c>
      <c r="E132" t="s">
        <v>409</v>
      </c>
      <c r="G132" t="s">
        <v>20</v>
      </c>
      <c r="H132">
        <v>10100</v>
      </c>
      <c r="I132" s="1" t="s">
        <v>3128</v>
      </c>
      <c r="J132">
        <v>10045.7125</v>
      </c>
      <c r="O132" t="s">
        <v>21</v>
      </c>
      <c r="P132" t="s">
        <v>3129</v>
      </c>
    </row>
    <row r="133" spans="1:16" x14ac:dyDescent="0.3">
      <c r="A133" t="s">
        <v>3130</v>
      </c>
      <c r="B133" s="1" t="s">
        <v>3131</v>
      </c>
      <c r="C133" t="s">
        <v>2736</v>
      </c>
      <c r="D133" t="s">
        <v>29</v>
      </c>
      <c r="E133" t="s">
        <v>19</v>
      </c>
      <c r="F133" t="s">
        <v>3132</v>
      </c>
      <c r="G133" t="s">
        <v>20</v>
      </c>
      <c r="H133">
        <v>40000</v>
      </c>
      <c r="I133">
        <v>32.25</v>
      </c>
      <c r="J133">
        <v>39967.75</v>
      </c>
      <c r="L133">
        <v>12</v>
      </c>
      <c r="M133">
        <v>2.25</v>
      </c>
      <c r="N133">
        <v>0</v>
      </c>
      <c r="O133" t="s">
        <v>21</v>
      </c>
      <c r="P133" t="s">
        <v>3133</v>
      </c>
    </row>
    <row r="134" spans="1:16" x14ac:dyDescent="0.3">
      <c r="A134" t="s">
        <v>3134</v>
      </c>
      <c r="B134" s="1" t="s">
        <v>3135</v>
      </c>
      <c r="C134" t="s">
        <v>2736</v>
      </c>
      <c r="D134" t="s">
        <v>1203</v>
      </c>
      <c r="E134" t="s">
        <v>19</v>
      </c>
      <c r="G134" t="s">
        <v>20</v>
      </c>
      <c r="H134">
        <v>5000</v>
      </c>
      <c r="I134">
        <v>25</v>
      </c>
      <c r="J134">
        <v>0</v>
      </c>
      <c r="O134" t="s">
        <v>21</v>
      </c>
      <c r="P134" t="s">
        <v>3136</v>
      </c>
    </row>
    <row r="135" spans="1:16" x14ac:dyDescent="0.3">
      <c r="A135" t="s">
        <v>3137</v>
      </c>
      <c r="B135" s="1" t="s">
        <v>3138</v>
      </c>
      <c r="C135" t="s">
        <v>2736</v>
      </c>
      <c r="D135" t="s">
        <v>29</v>
      </c>
      <c r="E135" t="s">
        <v>19</v>
      </c>
      <c r="F135" t="s">
        <v>3139</v>
      </c>
      <c r="G135" t="s">
        <v>20</v>
      </c>
      <c r="H135">
        <v>13000</v>
      </c>
      <c r="I135">
        <v>32.25</v>
      </c>
      <c r="J135">
        <v>12967.75</v>
      </c>
      <c r="L135">
        <v>12</v>
      </c>
      <c r="M135">
        <v>2.25</v>
      </c>
      <c r="N135">
        <v>0</v>
      </c>
      <c r="O135" t="s">
        <v>21</v>
      </c>
      <c r="P135" t="s">
        <v>3140</v>
      </c>
    </row>
    <row r="136" spans="1:16" x14ac:dyDescent="0.3">
      <c r="A136" t="s">
        <v>3141</v>
      </c>
      <c r="B136" s="1" t="s">
        <v>3142</v>
      </c>
      <c r="C136" t="s">
        <v>2736</v>
      </c>
      <c r="D136" t="s">
        <v>1203</v>
      </c>
      <c r="E136" t="s">
        <v>19</v>
      </c>
      <c r="G136" t="s">
        <v>20</v>
      </c>
      <c r="H136">
        <v>20000</v>
      </c>
      <c r="I136">
        <v>25</v>
      </c>
      <c r="J136">
        <v>0</v>
      </c>
      <c r="O136" t="s">
        <v>21</v>
      </c>
      <c r="P136" t="s">
        <v>3143</v>
      </c>
    </row>
    <row r="137" spans="1:16" x14ac:dyDescent="0.3">
      <c r="A137" t="s">
        <v>3144</v>
      </c>
      <c r="B137" s="1" t="s">
        <v>3145</v>
      </c>
      <c r="C137" t="s">
        <v>2736</v>
      </c>
      <c r="D137" t="s">
        <v>1203</v>
      </c>
      <c r="E137" t="s">
        <v>19</v>
      </c>
      <c r="G137" t="s">
        <v>20</v>
      </c>
      <c r="H137">
        <v>20000</v>
      </c>
      <c r="I137">
        <v>25</v>
      </c>
      <c r="J137">
        <v>0</v>
      </c>
      <c r="O137" t="s">
        <v>21</v>
      </c>
      <c r="P137" t="s">
        <v>3146</v>
      </c>
    </row>
    <row r="138" spans="1:16" x14ac:dyDescent="0.3">
      <c r="A138" t="s">
        <v>3147</v>
      </c>
      <c r="C138" t="s">
        <v>2736</v>
      </c>
      <c r="D138" t="s">
        <v>408</v>
      </c>
      <c r="E138" t="s">
        <v>409</v>
      </c>
      <c r="G138" t="s">
        <v>20</v>
      </c>
      <c r="H138">
        <v>126550</v>
      </c>
      <c r="I138">
        <v>107.5</v>
      </c>
      <c r="J138">
        <v>126442.5</v>
      </c>
      <c r="O138" t="s">
        <v>412</v>
      </c>
      <c r="P138" t="s">
        <v>3148</v>
      </c>
    </row>
    <row r="139" spans="1:16" x14ac:dyDescent="0.3">
      <c r="A139" t="s">
        <v>3149</v>
      </c>
      <c r="C139" t="s">
        <v>2736</v>
      </c>
      <c r="D139" t="s">
        <v>408</v>
      </c>
      <c r="E139" t="s">
        <v>409</v>
      </c>
      <c r="G139" t="s">
        <v>20</v>
      </c>
      <c r="H139">
        <v>126550</v>
      </c>
      <c r="I139">
        <v>107.5</v>
      </c>
      <c r="J139">
        <v>126442.5</v>
      </c>
      <c r="O139" t="s">
        <v>412</v>
      </c>
      <c r="P139" t="s">
        <v>3150</v>
      </c>
    </row>
    <row r="140" spans="1:16" x14ac:dyDescent="0.3">
      <c r="A140" t="s">
        <v>3151</v>
      </c>
      <c r="B140" s="1" t="s">
        <v>3152</v>
      </c>
      <c r="C140" t="s">
        <v>2736</v>
      </c>
      <c r="D140" t="s">
        <v>29</v>
      </c>
      <c r="E140" t="s">
        <v>19</v>
      </c>
      <c r="F140" t="s">
        <v>3153</v>
      </c>
      <c r="G140" t="s">
        <v>20</v>
      </c>
      <c r="H140">
        <v>13000</v>
      </c>
      <c r="I140">
        <v>32.25</v>
      </c>
      <c r="J140">
        <v>12967.75</v>
      </c>
      <c r="L140">
        <v>12</v>
      </c>
      <c r="M140">
        <v>2.25</v>
      </c>
      <c r="N140">
        <v>0</v>
      </c>
      <c r="O140" t="s">
        <v>21</v>
      </c>
      <c r="P140" t="s">
        <v>3154</v>
      </c>
    </row>
    <row r="141" spans="1:16" x14ac:dyDescent="0.3">
      <c r="A141" t="s">
        <v>3155</v>
      </c>
      <c r="B141" s="1" t="s">
        <v>3156</v>
      </c>
      <c r="C141" t="s">
        <v>2736</v>
      </c>
      <c r="D141" t="s">
        <v>29</v>
      </c>
      <c r="E141" t="s">
        <v>19</v>
      </c>
      <c r="F141" t="s">
        <v>3157</v>
      </c>
      <c r="G141" t="s">
        <v>20</v>
      </c>
      <c r="H141">
        <v>13000</v>
      </c>
      <c r="I141">
        <v>32.25</v>
      </c>
      <c r="J141">
        <v>12967.75</v>
      </c>
      <c r="L141">
        <v>12</v>
      </c>
      <c r="M141">
        <v>2.25</v>
      </c>
      <c r="N141">
        <v>0</v>
      </c>
      <c r="O141" t="s">
        <v>21</v>
      </c>
      <c r="P141" t="s">
        <v>3158</v>
      </c>
    </row>
    <row r="142" spans="1:16" x14ac:dyDescent="0.3">
      <c r="A142" t="s">
        <v>3159</v>
      </c>
      <c r="B142" s="1" t="s">
        <v>3160</v>
      </c>
      <c r="C142" t="s">
        <v>2736</v>
      </c>
      <c r="D142" t="s">
        <v>29</v>
      </c>
      <c r="E142" t="s">
        <v>19</v>
      </c>
      <c r="F142" t="s">
        <v>3161</v>
      </c>
      <c r="G142" t="s">
        <v>20</v>
      </c>
      <c r="H142">
        <v>13000</v>
      </c>
      <c r="I142">
        <v>32.25</v>
      </c>
      <c r="J142">
        <v>12967.75</v>
      </c>
      <c r="L142">
        <v>12</v>
      </c>
      <c r="M142">
        <v>2.25</v>
      </c>
      <c r="N142">
        <v>0</v>
      </c>
      <c r="O142" t="s">
        <v>21</v>
      </c>
      <c r="P142" t="s">
        <v>3162</v>
      </c>
    </row>
    <row r="143" spans="1:16" x14ac:dyDescent="0.3">
      <c r="A143" t="s">
        <v>3163</v>
      </c>
      <c r="B143" s="1" t="s">
        <v>3164</v>
      </c>
      <c r="C143" t="s">
        <v>2736</v>
      </c>
      <c r="D143" t="s">
        <v>29</v>
      </c>
      <c r="E143" t="s">
        <v>19</v>
      </c>
      <c r="F143" t="s">
        <v>3165</v>
      </c>
      <c r="G143" t="s">
        <v>20</v>
      </c>
      <c r="H143">
        <v>26000</v>
      </c>
      <c r="I143">
        <v>32.25</v>
      </c>
      <c r="J143">
        <v>25967.75</v>
      </c>
      <c r="L143">
        <v>12</v>
      </c>
      <c r="M143">
        <v>2.25</v>
      </c>
      <c r="N143">
        <v>0</v>
      </c>
      <c r="O143" t="s">
        <v>21</v>
      </c>
      <c r="P143" t="s">
        <v>3166</v>
      </c>
    </row>
    <row r="144" spans="1:16" x14ac:dyDescent="0.3">
      <c r="A144" t="s">
        <v>3167</v>
      </c>
      <c r="B144" s="1" t="s">
        <v>3168</v>
      </c>
      <c r="C144" t="s">
        <v>2736</v>
      </c>
      <c r="D144" t="s">
        <v>1203</v>
      </c>
      <c r="E144" t="s">
        <v>19</v>
      </c>
      <c r="G144" t="s">
        <v>20</v>
      </c>
      <c r="H144">
        <v>3500</v>
      </c>
      <c r="I144">
        <v>25</v>
      </c>
      <c r="J144">
        <v>0</v>
      </c>
      <c r="O144" t="s">
        <v>21</v>
      </c>
      <c r="P144" t="s">
        <v>3169</v>
      </c>
    </row>
    <row r="145" spans="1:16" x14ac:dyDescent="0.3">
      <c r="A145" t="s">
        <v>3170</v>
      </c>
      <c r="B145" s="1" t="s">
        <v>3171</v>
      </c>
      <c r="C145" t="s">
        <v>2736</v>
      </c>
      <c r="D145" t="s">
        <v>29</v>
      </c>
      <c r="E145" t="s">
        <v>19</v>
      </c>
      <c r="F145" t="s">
        <v>3172</v>
      </c>
      <c r="G145" t="s">
        <v>20</v>
      </c>
      <c r="H145">
        <v>6500</v>
      </c>
      <c r="I145">
        <v>32.25</v>
      </c>
      <c r="J145">
        <v>6467.75</v>
      </c>
      <c r="L145">
        <v>12</v>
      </c>
      <c r="M145">
        <v>2.25</v>
      </c>
      <c r="N145">
        <v>0</v>
      </c>
      <c r="O145" t="s">
        <v>21</v>
      </c>
      <c r="P145" t="s">
        <v>3173</v>
      </c>
    </row>
    <row r="146" spans="1:16" x14ac:dyDescent="0.3">
      <c r="A146" t="s">
        <v>3174</v>
      </c>
      <c r="B146" s="1" t="s">
        <v>3175</v>
      </c>
      <c r="C146" t="s">
        <v>2736</v>
      </c>
      <c r="D146" t="s">
        <v>1203</v>
      </c>
      <c r="E146" t="s">
        <v>19</v>
      </c>
      <c r="G146" t="s">
        <v>20</v>
      </c>
      <c r="H146">
        <v>122000</v>
      </c>
      <c r="I146">
        <v>25</v>
      </c>
      <c r="J146">
        <v>0</v>
      </c>
      <c r="O146" t="s">
        <v>21</v>
      </c>
      <c r="P146" t="s">
        <v>3176</v>
      </c>
    </row>
    <row r="147" spans="1:16" x14ac:dyDescent="0.3">
      <c r="A147" t="s">
        <v>3177</v>
      </c>
      <c r="B147" s="1" t="s">
        <v>3178</v>
      </c>
      <c r="C147" t="s">
        <v>2736</v>
      </c>
      <c r="D147" t="s">
        <v>1203</v>
      </c>
      <c r="E147" t="s">
        <v>19</v>
      </c>
      <c r="G147" t="s">
        <v>20</v>
      </c>
      <c r="H147">
        <v>7000</v>
      </c>
      <c r="I147">
        <v>25</v>
      </c>
      <c r="J147">
        <v>0</v>
      </c>
      <c r="O147" t="s">
        <v>21</v>
      </c>
      <c r="P147" t="s">
        <v>3179</v>
      </c>
    </row>
    <row r="148" spans="1:16" x14ac:dyDescent="0.3">
      <c r="A148" t="s">
        <v>3180</v>
      </c>
      <c r="B148" s="1" t="s">
        <v>3181</v>
      </c>
      <c r="C148" t="s">
        <v>2736</v>
      </c>
      <c r="D148" t="s">
        <v>1203</v>
      </c>
      <c r="E148" t="s">
        <v>19</v>
      </c>
      <c r="G148" t="s">
        <v>20</v>
      </c>
      <c r="H148">
        <v>5000</v>
      </c>
      <c r="I148">
        <v>25</v>
      </c>
      <c r="J148">
        <v>0</v>
      </c>
      <c r="O148" t="s">
        <v>21</v>
      </c>
      <c r="P148" t="s">
        <v>3182</v>
      </c>
    </row>
    <row r="149" spans="1:16" x14ac:dyDescent="0.3">
      <c r="A149" t="s">
        <v>3183</v>
      </c>
      <c r="B149" s="1" t="s">
        <v>3184</v>
      </c>
      <c r="C149" t="s">
        <v>2736</v>
      </c>
      <c r="D149" t="s">
        <v>1203</v>
      </c>
      <c r="E149" t="s">
        <v>19</v>
      </c>
      <c r="G149" t="s">
        <v>20</v>
      </c>
      <c r="H149">
        <v>5000</v>
      </c>
      <c r="I149">
        <v>25</v>
      </c>
      <c r="J149">
        <v>0</v>
      </c>
      <c r="O149" t="s">
        <v>21</v>
      </c>
      <c r="P149" t="s">
        <v>3185</v>
      </c>
    </row>
    <row r="150" spans="1:16" x14ac:dyDescent="0.3">
      <c r="A150" t="s">
        <v>3186</v>
      </c>
      <c r="B150" s="1" t="s">
        <v>3187</v>
      </c>
      <c r="C150" t="s">
        <v>2736</v>
      </c>
      <c r="D150" t="s">
        <v>1203</v>
      </c>
      <c r="E150" t="s">
        <v>19</v>
      </c>
      <c r="G150" t="s">
        <v>20</v>
      </c>
      <c r="H150">
        <v>5000</v>
      </c>
      <c r="I150">
        <v>25</v>
      </c>
      <c r="J150">
        <v>0</v>
      </c>
      <c r="O150" t="s">
        <v>21</v>
      </c>
      <c r="P150" t="s">
        <v>3188</v>
      </c>
    </row>
    <row r="151" spans="1:16" x14ac:dyDescent="0.3">
      <c r="A151" t="s">
        <v>3189</v>
      </c>
      <c r="B151" s="1" t="s">
        <v>3190</v>
      </c>
      <c r="C151" t="s">
        <v>2736</v>
      </c>
      <c r="D151" t="s">
        <v>1203</v>
      </c>
      <c r="E151" t="s">
        <v>19</v>
      </c>
      <c r="G151" t="s">
        <v>20</v>
      </c>
      <c r="H151">
        <v>7000</v>
      </c>
      <c r="I151">
        <v>25</v>
      </c>
      <c r="J151">
        <v>0</v>
      </c>
      <c r="O151" t="s">
        <v>21</v>
      </c>
      <c r="P151" t="s">
        <v>3191</v>
      </c>
    </row>
    <row r="152" spans="1:16" x14ac:dyDescent="0.3">
      <c r="A152" t="s">
        <v>3192</v>
      </c>
      <c r="C152" t="s">
        <v>2736</v>
      </c>
      <c r="D152" t="s">
        <v>1116</v>
      </c>
      <c r="E152" t="s">
        <v>1117</v>
      </c>
      <c r="F152" t="s">
        <v>1118</v>
      </c>
      <c r="G152" t="s">
        <v>20</v>
      </c>
      <c r="H152">
        <v>0</v>
      </c>
      <c r="I152">
        <v>0</v>
      </c>
      <c r="J152">
        <v>0</v>
      </c>
      <c r="O152" t="s">
        <v>21</v>
      </c>
      <c r="P152" t="s">
        <v>3193</v>
      </c>
    </row>
    <row r="153" spans="1:16" x14ac:dyDescent="0.3">
      <c r="A153" t="s">
        <v>3194</v>
      </c>
      <c r="B153" s="1" t="s">
        <v>3195</v>
      </c>
      <c r="C153" t="s">
        <v>2736</v>
      </c>
      <c r="D153" t="s">
        <v>29</v>
      </c>
      <c r="E153" t="s">
        <v>19</v>
      </c>
      <c r="F153" t="s">
        <v>3196</v>
      </c>
      <c r="G153" t="s">
        <v>20</v>
      </c>
      <c r="H153">
        <v>6500</v>
      </c>
      <c r="I153">
        <v>32.25</v>
      </c>
      <c r="J153">
        <v>6467.75</v>
      </c>
      <c r="L153">
        <v>12</v>
      </c>
      <c r="M153">
        <v>2.25</v>
      </c>
      <c r="N153">
        <v>0</v>
      </c>
      <c r="O153" t="s">
        <v>21</v>
      </c>
      <c r="P153" t="s">
        <v>3197</v>
      </c>
    </row>
    <row r="154" spans="1:16" x14ac:dyDescent="0.3">
      <c r="A154" t="s">
        <v>3198</v>
      </c>
      <c r="C154" t="s">
        <v>2736</v>
      </c>
      <c r="D154" t="s">
        <v>1203</v>
      </c>
      <c r="E154" t="s">
        <v>19</v>
      </c>
      <c r="G154" t="s">
        <v>20</v>
      </c>
      <c r="H154">
        <v>99000</v>
      </c>
      <c r="I154">
        <v>25</v>
      </c>
      <c r="J154">
        <v>0</v>
      </c>
      <c r="O154" t="s">
        <v>412</v>
      </c>
      <c r="P154" t="s">
        <v>3199</v>
      </c>
    </row>
    <row r="155" spans="1:16" x14ac:dyDescent="0.3">
      <c r="A155" t="s">
        <v>3200</v>
      </c>
      <c r="B155" s="1" t="s">
        <v>3201</v>
      </c>
      <c r="C155" t="s">
        <v>2736</v>
      </c>
      <c r="D155" t="s">
        <v>29</v>
      </c>
      <c r="E155" t="s">
        <v>19</v>
      </c>
      <c r="F155" t="s">
        <v>3202</v>
      </c>
      <c r="G155" t="s">
        <v>20</v>
      </c>
      <c r="H155">
        <v>1000</v>
      </c>
      <c r="I155">
        <v>32.25</v>
      </c>
      <c r="J155">
        <v>967.75</v>
      </c>
      <c r="L155">
        <v>12</v>
      </c>
      <c r="M155">
        <v>2.25</v>
      </c>
      <c r="N155">
        <v>0</v>
      </c>
      <c r="O155" t="s">
        <v>21</v>
      </c>
      <c r="P155" t="s">
        <v>3203</v>
      </c>
    </row>
    <row r="156" spans="1:16" x14ac:dyDescent="0.3">
      <c r="A156" t="s">
        <v>3204</v>
      </c>
      <c r="B156" s="1" t="s">
        <v>3205</v>
      </c>
      <c r="C156" t="s">
        <v>2736</v>
      </c>
      <c r="D156" t="s">
        <v>29</v>
      </c>
      <c r="E156" t="s">
        <v>19</v>
      </c>
      <c r="F156" t="s">
        <v>3206</v>
      </c>
      <c r="G156" t="s">
        <v>20</v>
      </c>
      <c r="H156">
        <v>5000</v>
      </c>
      <c r="I156">
        <v>32.25</v>
      </c>
      <c r="J156">
        <v>4967.75</v>
      </c>
      <c r="L156">
        <v>12</v>
      </c>
      <c r="M156">
        <v>2.25</v>
      </c>
      <c r="N156">
        <v>0</v>
      </c>
      <c r="O156" t="s">
        <v>21</v>
      </c>
      <c r="P156" t="s">
        <v>3207</v>
      </c>
    </row>
    <row r="157" spans="1:16" x14ac:dyDescent="0.3">
      <c r="A157" t="s">
        <v>3208</v>
      </c>
      <c r="B157" s="1" t="s">
        <v>3209</v>
      </c>
      <c r="C157" t="s">
        <v>2736</v>
      </c>
      <c r="D157" t="s">
        <v>29</v>
      </c>
      <c r="E157" t="s">
        <v>19</v>
      </c>
      <c r="F157" t="s">
        <v>3210</v>
      </c>
      <c r="G157" t="s">
        <v>20</v>
      </c>
      <c r="H157">
        <v>10000</v>
      </c>
      <c r="I157">
        <v>32.25</v>
      </c>
      <c r="J157">
        <v>9967.75</v>
      </c>
      <c r="L157">
        <v>12</v>
      </c>
      <c r="M157">
        <v>2.25</v>
      </c>
      <c r="N157">
        <v>0</v>
      </c>
      <c r="O157" t="s">
        <v>21</v>
      </c>
      <c r="P157" t="s">
        <v>3211</v>
      </c>
    </row>
    <row r="158" spans="1:16" x14ac:dyDescent="0.3">
      <c r="A158" t="s">
        <v>3212</v>
      </c>
      <c r="B158" s="1" t="s">
        <v>3213</v>
      </c>
      <c r="C158" t="s">
        <v>2736</v>
      </c>
      <c r="D158" t="s">
        <v>29</v>
      </c>
      <c r="E158" t="s">
        <v>19</v>
      </c>
      <c r="F158" t="s">
        <v>3214</v>
      </c>
      <c r="G158" t="s">
        <v>20</v>
      </c>
      <c r="H158">
        <v>2000</v>
      </c>
      <c r="I158">
        <v>32.25</v>
      </c>
      <c r="J158">
        <v>1967.75</v>
      </c>
      <c r="L158">
        <v>12</v>
      </c>
      <c r="M158">
        <v>2.25</v>
      </c>
      <c r="N158">
        <v>0</v>
      </c>
      <c r="O158" t="s">
        <v>21</v>
      </c>
      <c r="P158" t="s">
        <v>3215</v>
      </c>
    </row>
    <row r="159" spans="1:16" x14ac:dyDescent="0.3">
      <c r="A159" t="s">
        <v>3216</v>
      </c>
      <c r="B159" s="1" t="s">
        <v>3217</v>
      </c>
      <c r="C159" t="s">
        <v>2736</v>
      </c>
      <c r="D159" t="s">
        <v>29</v>
      </c>
      <c r="E159" t="s">
        <v>19</v>
      </c>
      <c r="F159" t="s">
        <v>3218</v>
      </c>
      <c r="G159" t="s">
        <v>20</v>
      </c>
      <c r="H159">
        <v>7000</v>
      </c>
      <c r="I159">
        <v>32.25</v>
      </c>
      <c r="J159">
        <v>6967.75</v>
      </c>
      <c r="L159">
        <v>12</v>
      </c>
      <c r="M159">
        <v>2.25</v>
      </c>
      <c r="N159">
        <v>0</v>
      </c>
      <c r="O159" t="s">
        <v>21</v>
      </c>
      <c r="P159" t="s">
        <v>3219</v>
      </c>
    </row>
    <row r="160" spans="1:16" x14ac:dyDescent="0.3">
      <c r="A160" t="s">
        <v>3220</v>
      </c>
      <c r="B160" s="1" t="s">
        <v>3221</v>
      </c>
      <c r="C160" t="s">
        <v>2736</v>
      </c>
      <c r="D160" t="s">
        <v>29</v>
      </c>
      <c r="E160" t="s">
        <v>19</v>
      </c>
      <c r="F160" t="s">
        <v>3222</v>
      </c>
      <c r="G160" t="s">
        <v>20</v>
      </c>
      <c r="H160">
        <v>20000</v>
      </c>
      <c r="I160">
        <v>32.25</v>
      </c>
      <c r="J160">
        <v>19967.75</v>
      </c>
      <c r="L160">
        <v>12</v>
      </c>
      <c r="M160">
        <v>2.25</v>
      </c>
      <c r="N160">
        <v>0</v>
      </c>
      <c r="O160" t="s">
        <v>21</v>
      </c>
      <c r="P160" t="s">
        <v>3223</v>
      </c>
    </row>
    <row r="161" spans="1:16" x14ac:dyDescent="0.3">
      <c r="A161" t="s">
        <v>3224</v>
      </c>
      <c r="B161" s="1" t="s">
        <v>3225</v>
      </c>
      <c r="C161" t="s">
        <v>2736</v>
      </c>
      <c r="D161" t="s">
        <v>1203</v>
      </c>
      <c r="E161" t="s">
        <v>19</v>
      </c>
      <c r="G161" t="s">
        <v>20</v>
      </c>
      <c r="H161">
        <v>100000</v>
      </c>
      <c r="I161">
        <v>25</v>
      </c>
      <c r="J161">
        <v>0</v>
      </c>
      <c r="O161" t="s">
        <v>21</v>
      </c>
      <c r="P161" t="s">
        <v>3226</v>
      </c>
    </row>
    <row r="162" spans="1:16" x14ac:dyDescent="0.3">
      <c r="A162" t="s">
        <v>3227</v>
      </c>
      <c r="B162" s="1" t="s">
        <v>3228</v>
      </c>
      <c r="C162" t="s">
        <v>2736</v>
      </c>
      <c r="D162" t="s">
        <v>29</v>
      </c>
      <c r="E162" t="s">
        <v>19</v>
      </c>
      <c r="F162" t="s">
        <v>3229</v>
      </c>
      <c r="G162" t="s">
        <v>20</v>
      </c>
      <c r="H162">
        <v>4000</v>
      </c>
      <c r="I162">
        <v>32.25</v>
      </c>
      <c r="J162">
        <v>3967.75</v>
      </c>
      <c r="L162">
        <v>12</v>
      </c>
      <c r="M162">
        <v>2.25</v>
      </c>
      <c r="N162">
        <v>0</v>
      </c>
      <c r="O162" t="s">
        <v>21</v>
      </c>
      <c r="P162" t="s">
        <v>3230</v>
      </c>
    </row>
    <row r="163" spans="1:16" x14ac:dyDescent="0.3">
      <c r="A163" t="s">
        <v>3231</v>
      </c>
      <c r="C163" t="s">
        <v>2736</v>
      </c>
      <c r="D163" t="s">
        <v>404</v>
      </c>
      <c r="E163" t="s">
        <v>19</v>
      </c>
      <c r="F163" t="s">
        <v>1268</v>
      </c>
      <c r="G163" t="s">
        <v>20</v>
      </c>
      <c r="H163">
        <v>112822</v>
      </c>
      <c r="I163">
        <v>0</v>
      </c>
      <c r="J163">
        <v>0</v>
      </c>
      <c r="O163" t="s">
        <v>21</v>
      </c>
      <c r="P163" t="s">
        <v>3232</v>
      </c>
    </row>
    <row r="164" spans="1:16" x14ac:dyDescent="0.3">
      <c r="A164" t="s">
        <v>3233</v>
      </c>
      <c r="B164" s="1" t="s">
        <v>3234</v>
      </c>
      <c r="C164" t="s">
        <v>2736</v>
      </c>
      <c r="D164" t="s">
        <v>29</v>
      </c>
      <c r="E164" t="s">
        <v>19</v>
      </c>
      <c r="F164" t="s">
        <v>3235</v>
      </c>
      <c r="G164" t="s">
        <v>20</v>
      </c>
      <c r="H164">
        <v>26000</v>
      </c>
      <c r="I164">
        <v>32.25</v>
      </c>
      <c r="J164">
        <v>25967.75</v>
      </c>
      <c r="L164">
        <v>12</v>
      </c>
      <c r="M164">
        <v>2.25</v>
      </c>
      <c r="N164">
        <v>0</v>
      </c>
      <c r="O164" t="s">
        <v>21</v>
      </c>
      <c r="P164" t="s">
        <v>3236</v>
      </c>
    </row>
    <row r="165" spans="1:16" x14ac:dyDescent="0.3">
      <c r="A165" t="s">
        <v>3237</v>
      </c>
      <c r="B165" s="1" t="s">
        <v>3238</v>
      </c>
      <c r="C165" t="s">
        <v>2736</v>
      </c>
      <c r="D165" t="s">
        <v>1203</v>
      </c>
      <c r="E165" t="s">
        <v>19</v>
      </c>
      <c r="G165" t="s">
        <v>20</v>
      </c>
      <c r="H165">
        <v>20000</v>
      </c>
      <c r="I165">
        <v>25</v>
      </c>
      <c r="J165">
        <v>0</v>
      </c>
      <c r="O165" t="s">
        <v>21</v>
      </c>
      <c r="P165" t="s">
        <v>3239</v>
      </c>
    </row>
    <row r="166" spans="1:16" x14ac:dyDescent="0.3">
      <c r="A166" t="s">
        <v>3240</v>
      </c>
      <c r="C166" t="s">
        <v>2736</v>
      </c>
      <c r="D166" t="s">
        <v>408</v>
      </c>
      <c r="E166" t="s">
        <v>409</v>
      </c>
      <c r="G166" t="s">
        <v>20</v>
      </c>
      <c r="H166">
        <v>13000</v>
      </c>
      <c r="I166">
        <v>69.875</v>
      </c>
      <c r="J166">
        <v>12930.125</v>
      </c>
      <c r="O166" t="s">
        <v>21</v>
      </c>
      <c r="P166" t="s">
        <v>3241</v>
      </c>
    </row>
    <row r="167" spans="1:16" x14ac:dyDescent="0.3">
      <c r="A167" t="s">
        <v>3242</v>
      </c>
      <c r="B167" s="1" t="s">
        <v>3243</v>
      </c>
      <c r="C167" t="s">
        <v>2736</v>
      </c>
      <c r="D167" t="s">
        <v>29</v>
      </c>
      <c r="E167" t="s">
        <v>19</v>
      </c>
      <c r="F167" t="s">
        <v>3244</v>
      </c>
      <c r="G167" t="s">
        <v>20</v>
      </c>
      <c r="H167">
        <v>13000</v>
      </c>
      <c r="I167">
        <v>32.25</v>
      </c>
      <c r="J167">
        <v>12967.75</v>
      </c>
      <c r="L167">
        <v>12</v>
      </c>
      <c r="M167">
        <v>2.25</v>
      </c>
      <c r="N167">
        <v>0</v>
      </c>
      <c r="O167" t="s">
        <v>21</v>
      </c>
      <c r="P167" t="s">
        <v>3245</v>
      </c>
    </row>
    <row r="168" spans="1:16" x14ac:dyDescent="0.3">
      <c r="A168" t="s">
        <v>3246</v>
      </c>
      <c r="C168" t="s">
        <v>2736</v>
      </c>
      <c r="D168" t="s">
        <v>408</v>
      </c>
      <c r="E168" t="s">
        <v>409</v>
      </c>
      <c r="G168" t="s">
        <v>20</v>
      </c>
      <c r="H168">
        <v>100000</v>
      </c>
      <c r="I168">
        <v>107.5</v>
      </c>
      <c r="J168">
        <v>99892.5</v>
      </c>
      <c r="O168" t="s">
        <v>21</v>
      </c>
      <c r="P168" t="s">
        <v>3247</v>
      </c>
    </row>
    <row r="169" spans="1:16" x14ac:dyDescent="0.3">
      <c r="A169" t="s">
        <v>3248</v>
      </c>
      <c r="B169" s="1" t="s">
        <v>3249</v>
      </c>
      <c r="C169" t="s">
        <v>2736</v>
      </c>
      <c r="D169" t="s">
        <v>1203</v>
      </c>
      <c r="E169" t="s">
        <v>19</v>
      </c>
      <c r="G169" t="s">
        <v>20</v>
      </c>
      <c r="H169">
        <v>10500</v>
      </c>
      <c r="I169">
        <v>25</v>
      </c>
      <c r="J169">
        <v>0</v>
      </c>
      <c r="O169" t="s">
        <v>21</v>
      </c>
      <c r="P169" t="s">
        <v>3250</v>
      </c>
    </row>
    <row r="170" spans="1:16" x14ac:dyDescent="0.3">
      <c r="A170" t="s">
        <v>3251</v>
      </c>
      <c r="B170" s="1" t="s">
        <v>3252</v>
      </c>
      <c r="C170" t="s">
        <v>2736</v>
      </c>
      <c r="D170" t="s">
        <v>29</v>
      </c>
      <c r="E170" t="s">
        <v>19</v>
      </c>
      <c r="F170" t="s">
        <v>3253</v>
      </c>
      <c r="G170" t="s">
        <v>20</v>
      </c>
      <c r="H170">
        <v>3500</v>
      </c>
      <c r="I170">
        <v>32.25</v>
      </c>
      <c r="J170">
        <v>3467.75</v>
      </c>
      <c r="L170">
        <v>12</v>
      </c>
      <c r="M170">
        <v>2.25</v>
      </c>
      <c r="N170">
        <v>0</v>
      </c>
      <c r="O170" t="s">
        <v>21</v>
      </c>
      <c r="P170" t="s">
        <v>3254</v>
      </c>
    </row>
    <row r="171" spans="1:16" x14ac:dyDescent="0.3">
      <c r="A171" t="s">
        <v>3255</v>
      </c>
      <c r="B171" s="1" t="s">
        <v>3256</v>
      </c>
      <c r="C171" t="s">
        <v>2736</v>
      </c>
      <c r="D171" t="s">
        <v>29</v>
      </c>
      <c r="E171" t="s">
        <v>19</v>
      </c>
      <c r="F171" t="s">
        <v>3257</v>
      </c>
      <c r="G171" t="s">
        <v>20</v>
      </c>
      <c r="H171">
        <v>50000</v>
      </c>
      <c r="I171">
        <v>32.25</v>
      </c>
      <c r="J171">
        <v>49967.75</v>
      </c>
      <c r="L171">
        <v>12</v>
      </c>
      <c r="M171">
        <v>2.25</v>
      </c>
      <c r="N171">
        <v>0</v>
      </c>
      <c r="O171" t="s">
        <v>21</v>
      </c>
      <c r="P171" t="s">
        <v>3258</v>
      </c>
    </row>
    <row r="172" spans="1:16" x14ac:dyDescent="0.3">
      <c r="A172" t="s">
        <v>3259</v>
      </c>
      <c r="B172" s="1" t="s">
        <v>3260</v>
      </c>
      <c r="C172" t="s">
        <v>2736</v>
      </c>
      <c r="D172" t="s">
        <v>1203</v>
      </c>
      <c r="E172" t="s">
        <v>19</v>
      </c>
      <c r="G172" t="s">
        <v>20</v>
      </c>
      <c r="H172">
        <v>100000</v>
      </c>
      <c r="I172">
        <v>25</v>
      </c>
      <c r="J172">
        <v>0</v>
      </c>
      <c r="O172" t="s">
        <v>21</v>
      </c>
      <c r="P172" t="s">
        <v>3261</v>
      </c>
    </row>
    <row r="173" spans="1:16" x14ac:dyDescent="0.3">
      <c r="A173" t="s">
        <v>3262</v>
      </c>
      <c r="B173" s="1" t="s">
        <v>3263</v>
      </c>
      <c r="C173" t="s">
        <v>2736</v>
      </c>
      <c r="D173" t="s">
        <v>29</v>
      </c>
      <c r="E173" t="s">
        <v>19</v>
      </c>
      <c r="F173" t="s">
        <v>3264</v>
      </c>
      <c r="G173" t="s">
        <v>20</v>
      </c>
      <c r="H173">
        <v>100000</v>
      </c>
      <c r="I173">
        <v>32.25</v>
      </c>
      <c r="J173">
        <v>99967.75</v>
      </c>
      <c r="L173">
        <v>12</v>
      </c>
      <c r="M173">
        <v>2.25</v>
      </c>
      <c r="N173">
        <v>0</v>
      </c>
      <c r="O173" t="s">
        <v>21</v>
      </c>
      <c r="P173" t="s">
        <v>3265</v>
      </c>
    </row>
    <row r="174" spans="1:16" x14ac:dyDescent="0.3">
      <c r="A174" t="s">
        <v>3266</v>
      </c>
      <c r="B174" s="1" t="s">
        <v>3267</v>
      </c>
      <c r="C174" t="s">
        <v>2736</v>
      </c>
      <c r="D174" t="s">
        <v>29</v>
      </c>
      <c r="E174" t="s">
        <v>19</v>
      </c>
      <c r="F174" t="s">
        <v>3268</v>
      </c>
      <c r="G174" t="s">
        <v>20</v>
      </c>
      <c r="H174">
        <v>13000</v>
      </c>
      <c r="I174">
        <v>32.25</v>
      </c>
      <c r="J174">
        <v>12967.75</v>
      </c>
      <c r="L174">
        <v>12</v>
      </c>
      <c r="M174">
        <v>2.25</v>
      </c>
      <c r="N174">
        <v>0</v>
      </c>
      <c r="O174" t="s">
        <v>21</v>
      </c>
      <c r="P174" t="s">
        <v>3269</v>
      </c>
    </row>
    <row r="175" spans="1:16" x14ac:dyDescent="0.3">
      <c r="A175" t="s">
        <v>3270</v>
      </c>
      <c r="B175" s="1" t="s">
        <v>3271</v>
      </c>
      <c r="C175" t="s">
        <v>2736</v>
      </c>
      <c r="D175" t="s">
        <v>29</v>
      </c>
      <c r="E175" t="s">
        <v>19</v>
      </c>
      <c r="F175" t="s">
        <v>3272</v>
      </c>
      <c r="G175" t="s">
        <v>20</v>
      </c>
      <c r="H175">
        <v>13000</v>
      </c>
      <c r="I175">
        <v>32.25</v>
      </c>
      <c r="J175">
        <v>12967.75</v>
      </c>
      <c r="L175">
        <v>12</v>
      </c>
      <c r="M175">
        <v>2.25</v>
      </c>
      <c r="N175">
        <v>0</v>
      </c>
      <c r="O175" t="s">
        <v>21</v>
      </c>
      <c r="P175" t="s">
        <v>3273</v>
      </c>
    </row>
    <row r="176" spans="1:16" x14ac:dyDescent="0.3">
      <c r="A176" t="s">
        <v>3274</v>
      </c>
      <c r="B176" s="1" t="s">
        <v>3275</v>
      </c>
      <c r="C176" t="s">
        <v>2736</v>
      </c>
      <c r="D176" t="s">
        <v>1203</v>
      </c>
      <c r="E176" t="s">
        <v>19</v>
      </c>
      <c r="G176" t="s">
        <v>20</v>
      </c>
      <c r="H176">
        <v>40000</v>
      </c>
      <c r="I176">
        <v>25</v>
      </c>
      <c r="J176">
        <v>0</v>
      </c>
      <c r="O176" t="s">
        <v>21</v>
      </c>
      <c r="P176" t="s">
        <v>3276</v>
      </c>
    </row>
    <row r="177" spans="1:16" x14ac:dyDescent="0.3">
      <c r="A177" t="s">
        <v>3277</v>
      </c>
      <c r="B177" s="1" t="s">
        <v>3278</v>
      </c>
      <c r="C177" t="s">
        <v>2736</v>
      </c>
      <c r="D177" t="s">
        <v>1203</v>
      </c>
      <c r="E177" t="s">
        <v>19</v>
      </c>
      <c r="G177" t="s">
        <v>20</v>
      </c>
      <c r="H177">
        <v>100000</v>
      </c>
      <c r="I177">
        <v>25</v>
      </c>
      <c r="J177">
        <v>0</v>
      </c>
      <c r="O177" t="s">
        <v>21</v>
      </c>
      <c r="P177" t="s">
        <v>3279</v>
      </c>
    </row>
    <row r="178" spans="1:16" x14ac:dyDescent="0.3">
      <c r="A178" t="s">
        <v>3280</v>
      </c>
      <c r="B178" s="1" t="s">
        <v>3281</v>
      </c>
      <c r="C178" t="s">
        <v>2736</v>
      </c>
      <c r="D178" t="s">
        <v>29</v>
      </c>
      <c r="E178" t="s">
        <v>19</v>
      </c>
      <c r="F178" t="s">
        <v>3282</v>
      </c>
      <c r="G178" t="s">
        <v>20</v>
      </c>
      <c r="H178">
        <v>13000</v>
      </c>
      <c r="I178">
        <v>32.25</v>
      </c>
      <c r="J178">
        <v>12967.75</v>
      </c>
      <c r="L178">
        <v>12</v>
      </c>
      <c r="M178">
        <v>2.25</v>
      </c>
      <c r="N178">
        <v>0</v>
      </c>
      <c r="O178" t="s">
        <v>21</v>
      </c>
      <c r="P178" t="s">
        <v>3283</v>
      </c>
    </row>
    <row r="179" spans="1:16" x14ac:dyDescent="0.3">
      <c r="A179" t="s">
        <v>3284</v>
      </c>
      <c r="B179" s="1" t="s">
        <v>3285</v>
      </c>
      <c r="C179" t="s">
        <v>2736</v>
      </c>
      <c r="D179" t="s">
        <v>29</v>
      </c>
      <c r="E179" t="s">
        <v>19</v>
      </c>
      <c r="F179" t="s">
        <v>3286</v>
      </c>
      <c r="G179" t="s">
        <v>20</v>
      </c>
      <c r="H179">
        <v>13000</v>
      </c>
      <c r="I179">
        <v>32.25</v>
      </c>
      <c r="J179">
        <v>12967.75</v>
      </c>
      <c r="L179">
        <v>12</v>
      </c>
      <c r="M179">
        <v>2.25</v>
      </c>
      <c r="N179">
        <v>0</v>
      </c>
      <c r="O179" t="s">
        <v>21</v>
      </c>
      <c r="P179" t="s">
        <v>3287</v>
      </c>
    </row>
    <row r="180" spans="1:16" x14ac:dyDescent="0.3">
      <c r="A180" t="s">
        <v>3288</v>
      </c>
      <c r="B180" s="1" t="s">
        <v>3289</v>
      </c>
      <c r="C180" t="s">
        <v>2736</v>
      </c>
      <c r="D180" t="s">
        <v>1203</v>
      </c>
      <c r="E180" t="s">
        <v>19</v>
      </c>
      <c r="G180" t="s">
        <v>20</v>
      </c>
      <c r="H180">
        <v>5000</v>
      </c>
      <c r="I180">
        <v>25</v>
      </c>
      <c r="J180">
        <v>0</v>
      </c>
      <c r="O180" t="s">
        <v>21</v>
      </c>
      <c r="P180" t="s">
        <v>3290</v>
      </c>
    </row>
    <row r="181" spans="1:16" x14ac:dyDescent="0.3">
      <c r="A181" t="s">
        <v>3291</v>
      </c>
      <c r="B181" s="1" t="s">
        <v>3292</v>
      </c>
      <c r="C181" t="s">
        <v>2736</v>
      </c>
      <c r="D181" t="s">
        <v>1203</v>
      </c>
      <c r="E181" t="s">
        <v>19</v>
      </c>
      <c r="G181" t="s">
        <v>20</v>
      </c>
      <c r="H181">
        <v>12000</v>
      </c>
      <c r="I181">
        <v>25</v>
      </c>
      <c r="J181">
        <v>0</v>
      </c>
      <c r="O181" t="s">
        <v>21</v>
      </c>
      <c r="P181" t="s">
        <v>3293</v>
      </c>
    </row>
    <row r="182" spans="1:16" x14ac:dyDescent="0.3">
      <c r="A182" t="s">
        <v>3294</v>
      </c>
      <c r="B182" t="s">
        <v>3294</v>
      </c>
      <c r="C182" t="s">
        <v>2736</v>
      </c>
      <c r="D182" t="s">
        <v>1203</v>
      </c>
      <c r="E182" t="s">
        <v>19</v>
      </c>
      <c r="G182" t="s">
        <v>20</v>
      </c>
      <c r="H182">
        <v>12000</v>
      </c>
      <c r="I182">
        <v>25</v>
      </c>
      <c r="J182">
        <v>0</v>
      </c>
      <c r="O182" t="s">
        <v>412</v>
      </c>
      <c r="P182" t="s">
        <v>3295</v>
      </c>
    </row>
    <row r="183" spans="1:16" x14ac:dyDescent="0.3">
      <c r="A183" t="s">
        <v>3296</v>
      </c>
      <c r="B183" s="1" t="s">
        <v>3297</v>
      </c>
      <c r="C183" t="s">
        <v>2736</v>
      </c>
      <c r="D183" t="s">
        <v>1203</v>
      </c>
      <c r="E183" t="s">
        <v>19</v>
      </c>
      <c r="G183" t="s">
        <v>20</v>
      </c>
      <c r="H183">
        <v>10000</v>
      </c>
      <c r="I183">
        <v>25</v>
      </c>
      <c r="J183">
        <v>0</v>
      </c>
      <c r="O183" t="s">
        <v>21</v>
      </c>
      <c r="P183" t="s">
        <v>3298</v>
      </c>
    </row>
    <row r="184" spans="1:16" x14ac:dyDescent="0.3">
      <c r="A184" t="s">
        <v>3299</v>
      </c>
      <c r="B184" s="1" t="s">
        <v>3300</v>
      </c>
      <c r="C184" t="s">
        <v>2736</v>
      </c>
      <c r="D184" t="s">
        <v>29</v>
      </c>
      <c r="E184" t="s">
        <v>19</v>
      </c>
      <c r="F184" t="s">
        <v>3301</v>
      </c>
      <c r="G184" t="s">
        <v>20</v>
      </c>
      <c r="H184">
        <v>13000</v>
      </c>
      <c r="I184">
        <v>32.25</v>
      </c>
      <c r="J184">
        <v>12967.75</v>
      </c>
      <c r="L184">
        <v>12</v>
      </c>
      <c r="M184">
        <v>2.25</v>
      </c>
      <c r="N184">
        <v>0</v>
      </c>
      <c r="O184" t="s">
        <v>21</v>
      </c>
      <c r="P184" t="s">
        <v>3302</v>
      </c>
    </row>
    <row r="185" spans="1:16" x14ac:dyDescent="0.3">
      <c r="A185" t="s">
        <v>3303</v>
      </c>
      <c r="B185" s="1" t="s">
        <v>3304</v>
      </c>
      <c r="C185" t="s">
        <v>2736</v>
      </c>
      <c r="D185" t="s">
        <v>29</v>
      </c>
      <c r="E185" t="s">
        <v>19</v>
      </c>
      <c r="F185" t="s">
        <v>3305</v>
      </c>
      <c r="G185" t="s">
        <v>20</v>
      </c>
      <c r="H185">
        <v>6500</v>
      </c>
      <c r="I185">
        <v>32.25</v>
      </c>
      <c r="J185">
        <v>6467.75</v>
      </c>
      <c r="L185">
        <v>12</v>
      </c>
      <c r="M185">
        <v>2.25</v>
      </c>
      <c r="N185">
        <v>0</v>
      </c>
      <c r="O185" t="s">
        <v>21</v>
      </c>
      <c r="P185" t="s">
        <v>3306</v>
      </c>
    </row>
    <row r="186" spans="1:16" x14ac:dyDescent="0.3">
      <c r="A186" t="s">
        <v>3307</v>
      </c>
      <c r="B186" s="1" t="s">
        <v>3308</v>
      </c>
      <c r="C186" t="s">
        <v>2736</v>
      </c>
      <c r="D186" t="s">
        <v>29</v>
      </c>
      <c r="E186" t="s">
        <v>19</v>
      </c>
      <c r="F186" t="s">
        <v>3309</v>
      </c>
      <c r="G186" t="s">
        <v>20</v>
      </c>
      <c r="H186">
        <v>20000</v>
      </c>
      <c r="I186">
        <v>32.25</v>
      </c>
      <c r="J186">
        <v>19967.75</v>
      </c>
      <c r="L186">
        <v>12</v>
      </c>
      <c r="M186">
        <v>2.25</v>
      </c>
      <c r="N186">
        <v>0</v>
      </c>
      <c r="O186" t="s">
        <v>21</v>
      </c>
      <c r="P186" t="s">
        <v>3310</v>
      </c>
    </row>
    <row r="187" spans="1:16" x14ac:dyDescent="0.3">
      <c r="A187" t="s">
        <v>3311</v>
      </c>
      <c r="B187" s="1" t="s">
        <v>3312</v>
      </c>
      <c r="C187" t="s">
        <v>2736</v>
      </c>
      <c r="D187" t="s">
        <v>29</v>
      </c>
      <c r="E187" t="s">
        <v>19</v>
      </c>
      <c r="F187" t="s">
        <v>3313</v>
      </c>
      <c r="G187" t="s">
        <v>20</v>
      </c>
      <c r="H187">
        <v>13000</v>
      </c>
      <c r="I187">
        <v>32.25</v>
      </c>
      <c r="J187">
        <v>12967.75</v>
      </c>
      <c r="L187">
        <v>12</v>
      </c>
      <c r="M187">
        <v>2.25</v>
      </c>
      <c r="N187">
        <v>0</v>
      </c>
      <c r="O187" t="s">
        <v>21</v>
      </c>
      <c r="P187" t="s">
        <v>3314</v>
      </c>
    </row>
    <row r="188" spans="1:16" x14ac:dyDescent="0.3">
      <c r="A188" t="s">
        <v>3315</v>
      </c>
      <c r="B188" s="1" t="s">
        <v>3316</v>
      </c>
      <c r="C188" t="s">
        <v>2736</v>
      </c>
      <c r="D188" t="s">
        <v>29</v>
      </c>
      <c r="E188" t="s">
        <v>19</v>
      </c>
      <c r="F188" t="s">
        <v>3317</v>
      </c>
      <c r="G188" t="s">
        <v>20</v>
      </c>
      <c r="H188">
        <v>13000</v>
      </c>
      <c r="I188">
        <v>32.25</v>
      </c>
      <c r="J188">
        <v>12967.75</v>
      </c>
      <c r="L188">
        <v>12</v>
      </c>
      <c r="M188">
        <v>2.25</v>
      </c>
      <c r="N188">
        <v>0</v>
      </c>
      <c r="O188" t="s">
        <v>21</v>
      </c>
      <c r="P188" t="s">
        <v>3318</v>
      </c>
    </row>
    <row r="189" spans="1:16" x14ac:dyDescent="0.3">
      <c r="A189" t="s">
        <v>3319</v>
      </c>
      <c r="B189" s="1" t="s">
        <v>3320</v>
      </c>
      <c r="C189" t="s">
        <v>2736</v>
      </c>
      <c r="D189" t="s">
        <v>29</v>
      </c>
      <c r="E189" t="s">
        <v>19</v>
      </c>
      <c r="F189" t="s">
        <v>3321</v>
      </c>
      <c r="G189" t="s">
        <v>20</v>
      </c>
      <c r="H189">
        <v>13000</v>
      </c>
      <c r="I189">
        <v>32.25</v>
      </c>
      <c r="J189">
        <v>12967.75</v>
      </c>
      <c r="L189">
        <v>12</v>
      </c>
      <c r="M189">
        <v>2.25</v>
      </c>
      <c r="N189">
        <v>0</v>
      </c>
      <c r="O189" t="s">
        <v>21</v>
      </c>
      <c r="P189" t="s">
        <v>3322</v>
      </c>
    </row>
    <row r="190" spans="1:16" x14ac:dyDescent="0.3">
      <c r="A190" t="s">
        <v>3323</v>
      </c>
      <c r="B190" s="1" t="s">
        <v>3324</v>
      </c>
      <c r="C190" t="s">
        <v>2736</v>
      </c>
      <c r="D190" t="s">
        <v>29</v>
      </c>
      <c r="E190" t="s">
        <v>19</v>
      </c>
      <c r="F190" t="s">
        <v>3325</v>
      </c>
      <c r="G190" t="s">
        <v>20</v>
      </c>
      <c r="H190">
        <v>13000</v>
      </c>
      <c r="I190">
        <v>32.25</v>
      </c>
      <c r="J190">
        <v>12967.75</v>
      </c>
      <c r="L190">
        <v>12</v>
      </c>
      <c r="M190">
        <v>2.25</v>
      </c>
      <c r="N190">
        <v>0</v>
      </c>
      <c r="O190" t="s">
        <v>21</v>
      </c>
      <c r="P190" t="s">
        <v>3326</v>
      </c>
    </row>
    <row r="191" spans="1:16" x14ac:dyDescent="0.3">
      <c r="A191" t="s">
        <v>3327</v>
      </c>
      <c r="B191" s="1" t="s">
        <v>3328</v>
      </c>
      <c r="C191" t="s">
        <v>2736</v>
      </c>
      <c r="D191" t="s">
        <v>29</v>
      </c>
      <c r="E191" t="s">
        <v>19</v>
      </c>
      <c r="F191" t="s">
        <v>3329</v>
      </c>
      <c r="G191" t="s">
        <v>20</v>
      </c>
      <c r="H191">
        <v>50000</v>
      </c>
      <c r="I191">
        <v>32.25</v>
      </c>
      <c r="J191">
        <v>49967.75</v>
      </c>
      <c r="L191">
        <v>12</v>
      </c>
      <c r="M191">
        <v>2.25</v>
      </c>
      <c r="N191">
        <v>0</v>
      </c>
      <c r="O191" t="s">
        <v>21</v>
      </c>
      <c r="P191" t="s">
        <v>3330</v>
      </c>
    </row>
    <row r="192" spans="1:16" x14ac:dyDescent="0.3">
      <c r="A192" t="s">
        <v>3331</v>
      </c>
      <c r="B192" s="1" t="s">
        <v>3332</v>
      </c>
      <c r="C192" t="s">
        <v>2736</v>
      </c>
      <c r="D192" t="s">
        <v>1203</v>
      </c>
      <c r="E192" t="s">
        <v>19</v>
      </c>
      <c r="G192" t="s">
        <v>20</v>
      </c>
      <c r="H192">
        <v>95000</v>
      </c>
      <c r="I192">
        <v>25</v>
      </c>
      <c r="J192">
        <v>0</v>
      </c>
      <c r="O192" t="s">
        <v>21</v>
      </c>
      <c r="P192" t="s">
        <v>3333</v>
      </c>
    </row>
    <row r="193" spans="1:16" x14ac:dyDescent="0.3">
      <c r="A193" t="s">
        <v>3334</v>
      </c>
      <c r="B193" s="1" t="s">
        <v>3335</v>
      </c>
      <c r="C193" t="s">
        <v>2736</v>
      </c>
      <c r="D193" t="s">
        <v>1203</v>
      </c>
      <c r="E193" t="s">
        <v>19</v>
      </c>
      <c r="G193" t="s">
        <v>20</v>
      </c>
      <c r="H193">
        <v>65000</v>
      </c>
      <c r="I193">
        <v>25</v>
      </c>
      <c r="J193">
        <v>0</v>
      </c>
      <c r="O193" t="s">
        <v>21</v>
      </c>
      <c r="P193" t="s">
        <v>3336</v>
      </c>
    </row>
    <row r="194" spans="1:16" x14ac:dyDescent="0.3">
      <c r="A194" t="s">
        <v>3337</v>
      </c>
      <c r="B194" s="1" t="s">
        <v>3338</v>
      </c>
      <c r="C194" t="s">
        <v>2736</v>
      </c>
      <c r="D194" t="s">
        <v>29</v>
      </c>
      <c r="E194" t="s">
        <v>19</v>
      </c>
      <c r="F194" t="s">
        <v>3339</v>
      </c>
      <c r="G194" t="s">
        <v>20</v>
      </c>
      <c r="H194">
        <v>13000</v>
      </c>
      <c r="I194">
        <v>32.25</v>
      </c>
      <c r="J194">
        <v>12967.75</v>
      </c>
      <c r="L194">
        <v>12</v>
      </c>
      <c r="M194">
        <v>2.25</v>
      </c>
      <c r="N194">
        <v>0</v>
      </c>
      <c r="O194" t="s">
        <v>21</v>
      </c>
      <c r="P194" t="s">
        <v>3340</v>
      </c>
    </row>
    <row r="195" spans="1:16" x14ac:dyDescent="0.3">
      <c r="A195" t="s">
        <v>3341</v>
      </c>
      <c r="B195" s="1" t="s">
        <v>3342</v>
      </c>
      <c r="C195" t="s">
        <v>2736</v>
      </c>
      <c r="D195" t="s">
        <v>29</v>
      </c>
      <c r="E195" t="s">
        <v>19</v>
      </c>
      <c r="F195" t="s">
        <v>3343</v>
      </c>
      <c r="G195" t="s">
        <v>20</v>
      </c>
      <c r="H195">
        <v>13000</v>
      </c>
      <c r="I195">
        <v>32.25</v>
      </c>
      <c r="J195">
        <v>12967.75</v>
      </c>
      <c r="L195">
        <v>12</v>
      </c>
      <c r="M195">
        <v>2.25</v>
      </c>
      <c r="N195">
        <v>0</v>
      </c>
      <c r="O195" t="s">
        <v>21</v>
      </c>
      <c r="P195" t="s">
        <v>3344</v>
      </c>
    </row>
    <row r="196" spans="1:16" x14ac:dyDescent="0.3">
      <c r="A196" t="s">
        <v>3345</v>
      </c>
      <c r="B196" s="1" t="s">
        <v>3346</v>
      </c>
      <c r="C196" t="s">
        <v>2736</v>
      </c>
      <c r="D196" t="s">
        <v>29</v>
      </c>
      <c r="E196" t="s">
        <v>19</v>
      </c>
      <c r="F196" t="s">
        <v>3347</v>
      </c>
      <c r="G196" t="s">
        <v>20</v>
      </c>
      <c r="H196">
        <v>26000</v>
      </c>
      <c r="I196">
        <v>32.25</v>
      </c>
      <c r="J196">
        <v>25967.75</v>
      </c>
      <c r="L196">
        <v>12</v>
      </c>
      <c r="M196">
        <v>2.25</v>
      </c>
      <c r="N196">
        <v>0</v>
      </c>
      <c r="O196" t="s">
        <v>21</v>
      </c>
      <c r="P196" t="s">
        <v>3348</v>
      </c>
    </row>
    <row r="197" spans="1:16" x14ac:dyDescent="0.3">
      <c r="A197" t="s">
        <v>3349</v>
      </c>
      <c r="B197" s="1" t="s">
        <v>3350</v>
      </c>
      <c r="C197" t="s">
        <v>2736</v>
      </c>
      <c r="D197" t="s">
        <v>29</v>
      </c>
      <c r="E197" t="s">
        <v>19</v>
      </c>
      <c r="F197" t="s">
        <v>3351</v>
      </c>
      <c r="G197" t="s">
        <v>20</v>
      </c>
      <c r="H197">
        <v>13000</v>
      </c>
      <c r="I197">
        <v>32.25</v>
      </c>
      <c r="J197">
        <v>12967.75</v>
      </c>
      <c r="L197">
        <v>12</v>
      </c>
      <c r="M197">
        <v>2.25</v>
      </c>
      <c r="N197">
        <v>0</v>
      </c>
      <c r="O197" t="s">
        <v>21</v>
      </c>
      <c r="P197" t="s">
        <v>3352</v>
      </c>
    </row>
    <row r="198" spans="1:16" x14ac:dyDescent="0.3">
      <c r="A198" t="s">
        <v>3353</v>
      </c>
      <c r="B198" s="1" t="s">
        <v>3354</v>
      </c>
      <c r="C198" t="s">
        <v>2736</v>
      </c>
      <c r="D198" t="s">
        <v>29</v>
      </c>
      <c r="E198" t="s">
        <v>19</v>
      </c>
      <c r="F198" t="s">
        <v>3355</v>
      </c>
      <c r="G198" t="s">
        <v>20</v>
      </c>
      <c r="H198">
        <v>5000</v>
      </c>
      <c r="I198">
        <v>32.25</v>
      </c>
      <c r="J198">
        <v>4967.75</v>
      </c>
      <c r="L198">
        <v>12</v>
      </c>
      <c r="M198">
        <v>2.25</v>
      </c>
      <c r="N198">
        <v>0</v>
      </c>
      <c r="O198" t="s">
        <v>21</v>
      </c>
      <c r="P198" t="s">
        <v>3356</v>
      </c>
    </row>
    <row r="199" spans="1:16" x14ac:dyDescent="0.3">
      <c r="A199" t="s">
        <v>3357</v>
      </c>
      <c r="B199" s="1" t="s">
        <v>3358</v>
      </c>
      <c r="C199" t="s">
        <v>2736</v>
      </c>
      <c r="D199" t="s">
        <v>29</v>
      </c>
      <c r="E199" t="s">
        <v>19</v>
      </c>
      <c r="F199" t="s">
        <v>3359</v>
      </c>
      <c r="G199" t="s">
        <v>20</v>
      </c>
      <c r="H199">
        <v>75000</v>
      </c>
      <c r="I199">
        <v>32.25</v>
      </c>
      <c r="J199">
        <v>74967.75</v>
      </c>
      <c r="L199">
        <v>12</v>
      </c>
      <c r="M199">
        <v>2.25</v>
      </c>
      <c r="N199">
        <v>0</v>
      </c>
      <c r="O199" t="s">
        <v>21</v>
      </c>
      <c r="P199" t="s">
        <v>3360</v>
      </c>
    </row>
    <row r="200" spans="1:16" x14ac:dyDescent="0.3">
      <c r="A200" t="s">
        <v>3361</v>
      </c>
      <c r="B200" s="1" t="s">
        <v>3362</v>
      </c>
      <c r="C200" t="s">
        <v>2736</v>
      </c>
      <c r="D200" t="s">
        <v>29</v>
      </c>
      <c r="E200" t="s">
        <v>19</v>
      </c>
      <c r="F200" t="s">
        <v>3363</v>
      </c>
      <c r="G200" t="s">
        <v>20</v>
      </c>
      <c r="H200">
        <v>5000</v>
      </c>
      <c r="I200">
        <v>32.25</v>
      </c>
      <c r="J200">
        <v>4967.75</v>
      </c>
      <c r="L200">
        <v>12</v>
      </c>
      <c r="M200">
        <v>2.25</v>
      </c>
      <c r="N200">
        <v>0</v>
      </c>
      <c r="O200" t="s">
        <v>21</v>
      </c>
      <c r="P200" t="s">
        <v>3364</v>
      </c>
    </row>
    <row r="201" spans="1:16" x14ac:dyDescent="0.3">
      <c r="A201" t="s">
        <v>3365</v>
      </c>
      <c r="B201" s="1" t="s">
        <v>3366</v>
      </c>
      <c r="C201" t="s">
        <v>2736</v>
      </c>
      <c r="D201" t="s">
        <v>29</v>
      </c>
      <c r="E201" t="s">
        <v>19</v>
      </c>
      <c r="F201" t="s">
        <v>3367</v>
      </c>
      <c r="G201" t="s">
        <v>20</v>
      </c>
      <c r="H201">
        <v>10000</v>
      </c>
      <c r="I201">
        <v>32.25</v>
      </c>
      <c r="J201">
        <v>9967.75</v>
      </c>
      <c r="L201">
        <v>12</v>
      </c>
      <c r="M201">
        <v>2.25</v>
      </c>
      <c r="N201">
        <v>0</v>
      </c>
      <c r="O201" t="s">
        <v>21</v>
      </c>
      <c r="P201" t="s">
        <v>3368</v>
      </c>
    </row>
    <row r="202" spans="1:16" x14ac:dyDescent="0.3">
      <c r="A202" t="s">
        <v>3369</v>
      </c>
      <c r="B202" s="1" t="s">
        <v>3370</v>
      </c>
      <c r="C202" t="s">
        <v>2736</v>
      </c>
      <c r="D202" t="s">
        <v>1203</v>
      </c>
      <c r="E202" t="s">
        <v>19</v>
      </c>
      <c r="G202" t="s">
        <v>20</v>
      </c>
      <c r="H202">
        <v>88000</v>
      </c>
      <c r="I202">
        <v>25</v>
      </c>
      <c r="J202">
        <v>0</v>
      </c>
      <c r="O202" t="s">
        <v>21</v>
      </c>
      <c r="P202" t="s">
        <v>3371</v>
      </c>
    </row>
    <row r="203" spans="1:16" x14ac:dyDescent="0.3">
      <c r="A203" t="s">
        <v>3372</v>
      </c>
      <c r="B203" s="1" t="s">
        <v>3373</v>
      </c>
      <c r="C203" t="s">
        <v>2736</v>
      </c>
      <c r="D203" t="s">
        <v>1203</v>
      </c>
      <c r="E203" t="s">
        <v>19</v>
      </c>
      <c r="G203" t="s">
        <v>20</v>
      </c>
      <c r="H203">
        <v>7500</v>
      </c>
      <c r="I203">
        <v>25</v>
      </c>
      <c r="J203">
        <v>0</v>
      </c>
      <c r="O203" t="s">
        <v>21</v>
      </c>
      <c r="P203" t="s">
        <v>3374</v>
      </c>
    </row>
    <row r="204" spans="1:16" x14ac:dyDescent="0.3">
      <c r="A204" t="s">
        <v>3375</v>
      </c>
      <c r="B204" s="1" t="s">
        <v>3376</v>
      </c>
      <c r="C204" t="s">
        <v>2736</v>
      </c>
      <c r="D204" t="s">
        <v>1203</v>
      </c>
      <c r="E204" t="s">
        <v>19</v>
      </c>
      <c r="G204" t="s">
        <v>20</v>
      </c>
      <c r="H204">
        <v>4000</v>
      </c>
      <c r="I204">
        <v>25</v>
      </c>
      <c r="J204">
        <v>0</v>
      </c>
      <c r="O204" t="s">
        <v>21</v>
      </c>
      <c r="P204" t="s">
        <v>3377</v>
      </c>
    </row>
    <row r="205" spans="1:16" x14ac:dyDescent="0.3">
      <c r="A205" t="s">
        <v>3378</v>
      </c>
      <c r="C205" t="s">
        <v>2736</v>
      </c>
      <c r="D205" t="s">
        <v>404</v>
      </c>
      <c r="E205" t="s">
        <v>19</v>
      </c>
      <c r="F205" t="s">
        <v>3379</v>
      </c>
      <c r="G205" t="s">
        <v>20</v>
      </c>
      <c r="H205">
        <v>9946</v>
      </c>
      <c r="I205">
        <v>0</v>
      </c>
      <c r="J205">
        <v>0</v>
      </c>
      <c r="O205" t="s">
        <v>21</v>
      </c>
      <c r="P205" t="s">
        <v>3380</v>
      </c>
    </row>
    <row r="206" spans="1:16" x14ac:dyDescent="0.3">
      <c r="A206" t="s">
        <v>3381</v>
      </c>
      <c r="B206" s="1" t="s">
        <v>3382</v>
      </c>
      <c r="C206" t="s">
        <v>2736</v>
      </c>
      <c r="D206" t="s">
        <v>29</v>
      </c>
      <c r="E206" t="s">
        <v>19</v>
      </c>
      <c r="F206" t="s">
        <v>3383</v>
      </c>
      <c r="G206" t="s">
        <v>20</v>
      </c>
      <c r="H206">
        <v>4800</v>
      </c>
      <c r="I206">
        <v>32.25</v>
      </c>
      <c r="J206">
        <v>4767.75</v>
      </c>
      <c r="L206">
        <v>12</v>
      </c>
      <c r="M206">
        <v>2.25</v>
      </c>
      <c r="N206">
        <v>0</v>
      </c>
      <c r="O206" t="s">
        <v>21</v>
      </c>
      <c r="P206" t="s">
        <v>3384</v>
      </c>
    </row>
    <row r="207" spans="1:16" x14ac:dyDescent="0.3">
      <c r="A207" t="s">
        <v>3385</v>
      </c>
      <c r="B207" s="1" t="s">
        <v>3386</v>
      </c>
      <c r="C207" t="s">
        <v>2736</v>
      </c>
      <c r="D207" t="s">
        <v>29</v>
      </c>
      <c r="E207" t="s">
        <v>19</v>
      </c>
      <c r="F207" t="s">
        <v>3387</v>
      </c>
      <c r="G207" t="s">
        <v>20</v>
      </c>
      <c r="H207">
        <v>5000</v>
      </c>
      <c r="I207">
        <v>32.25</v>
      </c>
      <c r="J207">
        <v>4967.75</v>
      </c>
      <c r="L207">
        <v>12</v>
      </c>
      <c r="M207">
        <v>2.25</v>
      </c>
      <c r="N207">
        <v>0</v>
      </c>
      <c r="O207" t="s">
        <v>21</v>
      </c>
      <c r="P207" t="s">
        <v>3388</v>
      </c>
    </row>
    <row r="208" spans="1:16" x14ac:dyDescent="0.3">
      <c r="A208" t="s">
        <v>3389</v>
      </c>
      <c r="B208" s="1" t="s">
        <v>3390</v>
      </c>
      <c r="C208" t="s">
        <v>2736</v>
      </c>
      <c r="D208" t="s">
        <v>29</v>
      </c>
      <c r="E208" t="s">
        <v>19</v>
      </c>
      <c r="F208" t="s">
        <v>3391</v>
      </c>
      <c r="G208" t="s">
        <v>20</v>
      </c>
      <c r="H208">
        <v>10000</v>
      </c>
      <c r="I208">
        <v>32.25</v>
      </c>
      <c r="J208">
        <v>9967.75</v>
      </c>
      <c r="L208">
        <v>12</v>
      </c>
      <c r="M208">
        <v>2.25</v>
      </c>
      <c r="N208">
        <v>0</v>
      </c>
      <c r="O208" t="s">
        <v>21</v>
      </c>
      <c r="P208" t="s">
        <v>3392</v>
      </c>
    </row>
    <row r="209" spans="1:16" x14ac:dyDescent="0.3">
      <c r="A209" t="s">
        <v>3393</v>
      </c>
      <c r="C209" t="s">
        <v>2736</v>
      </c>
      <c r="D209" t="s">
        <v>408</v>
      </c>
      <c r="E209" t="s">
        <v>409</v>
      </c>
      <c r="G209" t="s">
        <v>20</v>
      </c>
      <c r="H209">
        <v>10000</v>
      </c>
      <c r="I209" s="1" t="s">
        <v>1432</v>
      </c>
      <c r="J209">
        <v>9946.25</v>
      </c>
      <c r="O209" t="s">
        <v>21</v>
      </c>
      <c r="P209" t="s">
        <v>3394</v>
      </c>
    </row>
    <row r="210" spans="1:16" x14ac:dyDescent="0.3">
      <c r="A210" t="s">
        <v>3395</v>
      </c>
      <c r="B210" s="1" t="s">
        <v>3396</v>
      </c>
      <c r="C210" t="s">
        <v>2736</v>
      </c>
      <c r="D210" t="s">
        <v>29</v>
      </c>
      <c r="E210" t="s">
        <v>19</v>
      </c>
      <c r="F210" t="s">
        <v>3397</v>
      </c>
      <c r="G210" t="s">
        <v>20</v>
      </c>
      <c r="H210">
        <v>20000</v>
      </c>
      <c r="I210">
        <v>32.25</v>
      </c>
      <c r="J210">
        <v>19967.75</v>
      </c>
      <c r="L210">
        <v>12</v>
      </c>
      <c r="M210">
        <v>2.25</v>
      </c>
      <c r="N210">
        <v>0</v>
      </c>
      <c r="O210" t="s">
        <v>21</v>
      </c>
      <c r="P210" t="s">
        <v>3398</v>
      </c>
    </row>
    <row r="211" spans="1:16" x14ac:dyDescent="0.3">
      <c r="A211" t="s">
        <v>3399</v>
      </c>
      <c r="B211" s="1" t="s">
        <v>3400</v>
      </c>
      <c r="C211" t="s">
        <v>2736</v>
      </c>
      <c r="D211" t="s">
        <v>29</v>
      </c>
      <c r="E211" t="s">
        <v>19</v>
      </c>
      <c r="F211" t="s">
        <v>3401</v>
      </c>
      <c r="G211" t="s">
        <v>20</v>
      </c>
      <c r="H211">
        <v>10000</v>
      </c>
      <c r="I211">
        <v>32.25</v>
      </c>
      <c r="J211">
        <v>9967.75</v>
      </c>
      <c r="L211">
        <v>12</v>
      </c>
      <c r="M211">
        <v>2.25</v>
      </c>
      <c r="N211">
        <v>0</v>
      </c>
      <c r="O211" t="s">
        <v>21</v>
      </c>
      <c r="P211" t="s">
        <v>3402</v>
      </c>
    </row>
    <row r="212" spans="1:16" x14ac:dyDescent="0.3">
      <c r="A212" t="s">
        <v>3403</v>
      </c>
      <c r="C212" t="s">
        <v>2736</v>
      </c>
      <c r="D212" t="s">
        <v>1116</v>
      </c>
      <c r="E212" t="s">
        <v>1117</v>
      </c>
      <c r="F212" t="s">
        <v>1305</v>
      </c>
      <c r="G212" t="s">
        <v>20</v>
      </c>
      <c r="H212">
        <v>0</v>
      </c>
      <c r="I212">
        <v>0</v>
      </c>
      <c r="J212">
        <v>0</v>
      </c>
      <c r="O212" t="s">
        <v>21</v>
      </c>
      <c r="P212" t="s">
        <v>3404</v>
      </c>
    </row>
    <row r="213" spans="1:16" x14ac:dyDescent="0.3">
      <c r="A213" t="s">
        <v>3405</v>
      </c>
      <c r="B213" s="1" t="s">
        <v>3406</v>
      </c>
      <c r="C213" t="s">
        <v>2736</v>
      </c>
      <c r="D213" t="s">
        <v>29</v>
      </c>
      <c r="E213" t="s">
        <v>19</v>
      </c>
      <c r="F213" t="s">
        <v>3407</v>
      </c>
      <c r="G213" t="s">
        <v>20</v>
      </c>
      <c r="H213">
        <v>20000</v>
      </c>
      <c r="I213">
        <v>32.25</v>
      </c>
      <c r="J213">
        <v>19967.75</v>
      </c>
      <c r="L213">
        <v>12</v>
      </c>
      <c r="M213">
        <v>2.25</v>
      </c>
      <c r="N213">
        <v>0</v>
      </c>
      <c r="O213" t="s">
        <v>21</v>
      </c>
      <c r="P213" t="s">
        <v>3408</v>
      </c>
    </row>
    <row r="214" spans="1:16" x14ac:dyDescent="0.3">
      <c r="A214" t="s">
        <v>3409</v>
      </c>
      <c r="B214" s="1" t="s">
        <v>3410</v>
      </c>
      <c r="C214" t="s">
        <v>2736</v>
      </c>
      <c r="D214" t="s">
        <v>29</v>
      </c>
      <c r="E214" t="s">
        <v>19</v>
      </c>
      <c r="F214" t="s">
        <v>3411</v>
      </c>
      <c r="G214" t="s">
        <v>20</v>
      </c>
      <c r="H214">
        <v>20000</v>
      </c>
      <c r="I214">
        <v>32.25</v>
      </c>
      <c r="J214">
        <v>19967.75</v>
      </c>
      <c r="L214">
        <v>12</v>
      </c>
      <c r="M214">
        <v>2.25</v>
      </c>
      <c r="N214">
        <v>0</v>
      </c>
      <c r="O214" t="s">
        <v>21</v>
      </c>
      <c r="P214" t="s">
        <v>3412</v>
      </c>
    </row>
    <row r="215" spans="1:16" x14ac:dyDescent="0.3">
      <c r="A215" t="s">
        <v>3413</v>
      </c>
      <c r="B215" s="1" t="s">
        <v>3414</v>
      </c>
      <c r="C215" t="s">
        <v>2736</v>
      </c>
      <c r="D215" t="s">
        <v>1203</v>
      </c>
      <c r="E215" t="s">
        <v>19</v>
      </c>
      <c r="G215" t="s">
        <v>20</v>
      </c>
      <c r="H215">
        <v>38000</v>
      </c>
      <c r="I215">
        <v>25</v>
      </c>
      <c r="J215">
        <v>0</v>
      </c>
      <c r="O215" t="s">
        <v>21</v>
      </c>
      <c r="P215" t="s">
        <v>3415</v>
      </c>
    </row>
    <row r="216" spans="1:16" x14ac:dyDescent="0.3">
      <c r="A216" t="s">
        <v>3416</v>
      </c>
      <c r="C216" t="s">
        <v>2736</v>
      </c>
      <c r="D216" t="s">
        <v>404</v>
      </c>
      <c r="E216" t="s">
        <v>19</v>
      </c>
      <c r="F216" t="s">
        <v>1322</v>
      </c>
      <c r="G216" t="s">
        <v>20</v>
      </c>
      <c r="H216">
        <v>19892</v>
      </c>
      <c r="I216">
        <v>0</v>
      </c>
      <c r="J216">
        <v>0</v>
      </c>
      <c r="O216" t="s">
        <v>21</v>
      </c>
      <c r="P216" t="s">
        <v>3417</v>
      </c>
    </row>
    <row r="217" spans="1:16" x14ac:dyDescent="0.3">
      <c r="A217" t="s">
        <v>3418</v>
      </c>
      <c r="B217" s="1" t="s">
        <v>3419</v>
      </c>
      <c r="C217" t="s">
        <v>2736</v>
      </c>
      <c r="D217" t="s">
        <v>29</v>
      </c>
      <c r="E217" t="s">
        <v>19</v>
      </c>
      <c r="F217" t="s">
        <v>3420</v>
      </c>
      <c r="G217" t="s">
        <v>20</v>
      </c>
      <c r="H217">
        <v>2000</v>
      </c>
      <c r="I217">
        <v>32.25</v>
      </c>
      <c r="J217">
        <v>1967.75</v>
      </c>
      <c r="L217">
        <v>12</v>
      </c>
      <c r="M217">
        <v>2.25</v>
      </c>
      <c r="N217">
        <v>0</v>
      </c>
      <c r="O217" t="s">
        <v>21</v>
      </c>
      <c r="P217" t="s">
        <v>3421</v>
      </c>
    </row>
    <row r="218" spans="1:16" x14ac:dyDescent="0.3">
      <c r="A218" t="s">
        <v>3422</v>
      </c>
      <c r="B218" s="1" t="s">
        <v>3423</v>
      </c>
      <c r="C218" t="s">
        <v>2736</v>
      </c>
      <c r="D218" t="s">
        <v>29</v>
      </c>
      <c r="E218" t="s">
        <v>19</v>
      </c>
      <c r="F218" t="s">
        <v>3424</v>
      </c>
      <c r="G218" t="s">
        <v>20</v>
      </c>
      <c r="H218">
        <v>5000</v>
      </c>
      <c r="I218">
        <v>32.25</v>
      </c>
      <c r="J218">
        <v>4967.75</v>
      </c>
      <c r="L218">
        <v>12</v>
      </c>
      <c r="M218">
        <v>2.25</v>
      </c>
      <c r="N218">
        <v>0</v>
      </c>
      <c r="O218" t="s">
        <v>21</v>
      </c>
      <c r="P218" t="s">
        <v>3425</v>
      </c>
    </row>
    <row r="219" spans="1:16" x14ac:dyDescent="0.3">
      <c r="A219" t="s">
        <v>3426</v>
      </c>
      <c r="B219" s="1" t="s">
        <v>3427</v>
      </c>
      <c r="C219" t="s">
        <v>2736</v>
      </c>
      <c r="D219" t="s">
        <v>29</v>
      </c>
      <c r="E219" t="s">
        <v>19</v>
      </c>
      <c r="F219" t="s">
        <v>3428</v>
      </c>
      <c r="G219" t="s">
        <v>20</v>
      </c>
      <c r="H219">
        <v>1000</v>
      </c>
      <c r="I219">
        <v>32.25</v>
      </c>
      <c r="J219">
        <v>967.75</v>
      </c>
      <c r="L219">
        <v>12</v>
      </c>
      <c r="M219">
        <v>2.25</v>
      </c>
      <c r="N219">
        <v>0</v>
      </c>
      <c r="O219" t="s">
        <v>21</v>
      </c>
      <c r="P219" t="s">
        <v>3429</v>
      </c>
    </row>
    <row r="220" spans="1:16" x14ac:dyDescent="0.3">
      <c r="A220" t="s">
        <v>3430</v>
      </c>
      <c r="B220" s="1" t="s">
        <v>3431</v>
      </c>
      <c r="C220" t="s">
        <v>2736</v>
      </c>
      <c r="D220" t="s">
        <v>29</v>
      </c>
      <c r="E220" t="s">
        <v>19</v>
      </c>
      <c r="F220" t="s">
        <v>3432</v>
      </c>
      <c r="G220" t="s">
        <v>20</v>
      </c>
      <c r="H220">
        <v>10000</v>
      </c>
      <c r="I220">
        <v>32.25</v>
      </c>
      <c r="J220">
        <v>9967.75</v>
      </c>
      <c r="L220">
        <v>12</v>
      </c>
      <c r="M220">
        <v>2.25</v>
      </c>
      <c r="N220">
        <v>0</v>
      </c>
      <c r="O220" t="s">
        <v>21</v>
      </c>
      <c r="P220" t="s">
        <v>3433</v>
      </c>
    </row>
    <row r="221" spans="1:16" x14ac:dyDescent="0.3">
      <c r="A221" t="s">
        <v>3434</v>
      </c>
      <c r="C221" t="s">
        <v>2736</v>
      </c>
      <c r="D221" t="s">
        <v>408</v>
      </c>
      <c r="E221" t="s">
        <v>409</v>
      </c>
      <c r="G221" t="s">
        <v>20</v>
      </c>
      <c r="H221">
        <v>20000</v>
      </c>
      <c r="I221" s="1" t="s">
        <v>2155</v>
      </c>
      <c r="J221">
        <v>19892.5</v>
      </c>
      <c r="O221" t="s">
        <v>21</v>
      </c>
      <c r="P221" t="s">
        <v>3435</v>
      </c>
    </row>
    <row r="222" spans="1:16" x14ac:dyDescent="0.3">
      <c r="A222" t="s">
        <v>3436</v>
      </c>
      <c r="C222" t="s">
        <v>2736</v>
      </c>
      <c r="D222" t="s">
        <v>18</v>
      </c>
      <c r="E222" t="s">
        <v>19</v>
      </c>
      <c r="G222" t="s">
        <v>20</v>
      </c>
      <c r="H222">
        <v>99921.5</v>
      </c>
      <c r="I222">
        <v>0</v>
      </c>
      <c r="J222">
        <v>99921.5</v>
      </c>
      <c r="O222" t="s">
        <v>21</v>
      </c>
      <c r="P222" t="s">
        <v>3437</v>
      </c>
    </row>
    <row r="223" spans="1:16" x14ac:dyDescent="0.3">
      <c r="A223" t="s">
        <v>3438</v>
      </c>
      <c r="C223" t="s">
        <v>2736</v>
      </c>
      <c r="D223" t="s">
        <v>18</v>
      </c>
      <c r="E223" t="s">
        <v>19</v>
      </c>
      <c r="G223" t="s">
        <v>20</v>
      </c>
      <c r="H223">
        <v>99921.5</v>
      </c>
      <c r="I223">
        <v>0</v>
      </c>
      <c r="J223">
        <v>99921.5</v>
      </c>
      <c r="O223" t="s">
        <v>21</v>
      </c>
      <c r="P223" t="s">
        <v>3439</v>
      </c>
    </row>
    <row r="224" spans="1:16" x14ac:dyDescent="0.3">
      <c r="A224" t="s">
        <v>3440</v>
      </c>
      <c r="B224" s="1" t="s">
        <v>3441</v>
      </c>
      <c r="C224" t="s">
        <v>2736</v>
      </c>
      <c r="D224" t="s">
        <v>1203</v>
      </c>
      <c r="E224" t="s">
        <v>19</v>
      </c>
      <c r="G224" t="s">
        <v>20</v>
      </c>
      <c r="H224">
        <v>104000</v>
      </c>
      <c r="I224">
        <v>25</v>
      </c>
      <c r="J224">
        <v>0</v>
      </c>
      <c r="O224" t="s">
        <v>21</v>
      </c>
      <c r="P224" t="s">
        <v>3442</v>
      </c>
    </row>
    <row r="225" spans="1:16" x14ac:dyDescent="0.3">
      <c r="A225" t="s">
        <v>3443</v>
      </c>
      <c r="B225" t="s">
        <v>3443</v>
      </c>
      <c r="C225" t="s">
        <v>2736</v>
      </c>
      <c r="D225" t="s">
        <v>1203</v>
      </c>
      <c r="E225" t="s">
        <v>19</v>
      </c>
      <c r="G225" t="s">
        <v>20</v>
      </c>
      <c r="H225">
        <v>104000</v>
      </c>
      <c r="I225">
        <v>25</v>
      </c>
      <c r="J225">
        <v>0</v>
      </c>
      <c r="O225" t="s">
        <v>412</v>
      </c>
      <c r="P225" t="s">
        <v>3444</v>
      </c>
    </row>
    <row r="226" spans="1:16" x14ac:dyDescent="0.3">
      <c r="A226" t="s">
        <v>3445</v>
      </c>
      <c r="B226" t="s">
        <v>3445</v>
      </c>
      <c r="C226" t="s">
        <v>2736</v>
      </c>
      <c r="D226" t="s">
        <v>1203</v>
      </c>
      <c r="E226" t="s">
        <v>19</v>
      </c>
      <c r="G226" t="s">
        <v>20</v>
      </c>
      <c r="H226">
        <v>104000</v>
      </c>
      <c r="I226">
        <v>25</v>
      </c>
      <c r="J226">
        <v>0</v>
      </c>
      <c r="O226" t="s">
        <v>412</v>
      </c>
      <c r="P226" t="s">
        <v>3446</v>
      </c>
    </row>
    <row r="227" spans="1:16" x14ac:dyDescent="0.3">
      <c r="A227" t="s">
        <v>3447</v>
      </c>
      <c r="B227" t="s">
        <v>3447</v>
      </c>
      <c r="C227" t="s">
        <v>2736</v>
      </c>
      <c r="D227" t="s">
        <v>1203</v>
      </c>
      <c r="E227" t="s">
        <v>19</v>
      </c>
      <c r="G227" t="s">
        <v>20</v>
      </c>
      <c r="H227">
        <v>104000</v>
      </c>
      <c r="I227">
        <v>25</v>
      </c>
      <c r="J227">
        <v>0</v>
      </c>
      <c r="O227" t="s">
        <v>412</v>
      </c>
      <c r="P227" t="s">
        <v>3448</v>
      </c>
    </row>
    <row r="228" spans="1:16" x14ac:dyDescent="0.3">
      <c r="A228" t="s">
        <v>3449</v>
      </c>
      <c r="B228" t="s">
        <v>3449</v>
      </c>
      <c r="C228" t="s">
        <v>2736</v>
      </c>
      <c r="D228" t="s">
        <v>1203</v>
      </c>
      <c r="E228" t="s">
        <v>19</v>
      </c>
      <c r="G228" t="s">
        <v>20</v>
      </c>
      <c r="H228">
        <v>104000</v>
      </c>
      <c r="I228">
        <v>25</v>
      </c>
      <c r="J228">
        <v>0</v>
      </c>
      <c r="O228" t="s">
        <v>412</v>
      </c>
      <c r="P228" t="s">
        <v>3450</v>
      </c>
    </row>
    <row r="229" spans="1:16" x14ac:dyDescent="0.3">
      <c r="A229" t="s">
        <v>3451</v>
      </c>
      <c r="B229" t="s">
        <v>3451</v>
      </c>
      <c r="C229" t="s">
        <v>2736</v>
      </c>
      <c r="D229" t="s">
        <v>1203</v>
      </c>
      <c r="E229" t="s">
        <v>19</v>
      </c>
      <c r="G229" t="s">
        <v>20</v>
      </c>
      <c r="H229">
        <v>100000</v>
      </c>
      <c r="I229">
        <v>25</v>
      </c>
      <c r="J229">
        <v>0</v>
      </c>
      <c r="O229" t="s">
        <v>412</v>
      </c>
      <c r="P229" t="s">
        <v>3452</v>
      </c>
    </row>
    <row r="230" spans="1:16" x14ac:dyDescent="0.3">
      <c r="A230" t="s">
        <v>3453</v>
      </c>
      <c r="B230" t="s">
        <v>3453</v>
      </c>
      <c r="C230" t="s">
        <v>2736</v>
      </c>
      <c r="D230" t="s">
        <v>1203</v>
      </c>
      <c r="E230" t="s">
        <v>19</v>
      </c>
      <c r="G230" t="s">
        <v>20</v>
      </c>
      <c r="H230">
        <v>104000</v>
      </c>
      <c r="I230">
        <v>25</v>
      </c>
      <c r="J230">
        <v>0</v>
      </c>
      <c r="O230" t="s">
        <v>412</v>
      </c>
      <c r="P230" t="s">
        <v>3454</v>
      </c>
    </row>
    <row r="231" spans="1:16" x14ac:dyDescent="0.3">
      <c r="A231" t="s">
        <v>3455</v>
      </c>
      <c r="B231" t="s">
        <v>3455</v>
      </c>
      <c r="C231" t="s">
        <v>2736</v>
      </c>
      <c r="D231" t="s">
        <v>1203</v>
      </c>
      <c r="E231" t="s">
        <v>19</v>
      </c>
      <c r="G231" t="s">
        <v>20</v>
      </c>
      <c r="H231">
        <v>104000</v>
      </c>
      <c r="I231">
        <v>25</v>
      </c>
      <c r="J231">
        <v>0</v>
      </c>
      <c r="O231" t="s">
        <v>412</v>
      </c>
      <c r="P231" t="s">
        <v>3456</v>
      </c>
    </row>
    <row r="232" spans="1:16" x14ac:dyDescent="0.3">
      <c r="A232" t="s">
        <v>3457</v>
      </c>
      <c r="B232" t="s">
        <v>3457</v>
      </c>
      <c r="C232" t="s">
        <v>2736</v>
      </c>
      <c r="D232" t="s">
        <v>1203</v>
      </c>
      <c r="E232" t="s">
        <v>19</v>
      </c>
      <c r="G232" t="s">
        <v>20</v>
      </c>
      <c r="H232">
        <v>104000</v>
      </c>
      <c r="I232">
        <v>25</v>
      </c>
      <c r="J232">
        <v>0</v>
      </c>
      <c r="O232" t="s">
        <v>412</v>
      </c>
      <c r="P232" t="s">
        <v>3458</v>
      </c>
    </row>
    <row r="233" spans="1:16" x14ac:dyDescent="0.3">
      <c r="A233" t="s">
        <v>3459</v>
      </c>
      <c r="B233" t="s">
        <v>3459</v>
      </c>
      <c r="C233" t="s">
        <v>2736</v>
      </c>
      <c r="D233" t="s">
        <v>1203</v>
      </c>
      <c r="E233" t="s">
        <v>19</v>
      </c>
      <c r="G233" t="s">
        <v>20</v>
      </c>
      <c r="H233">
        <v>100000</v>
      </c>
      <c r="I233">
        <v>25</v>
      </c>
      <c r="J233">
        <v>0</v>
      </c>
      <c r="O233" t="s">
        <v>412</v>
      </c>
      <c r="P233" t="s">
        <v>3460</v>
      </c>
    </row>
    <row r="234" spans="1:16" x14ac:dyDescent="0.3">
      <c r="A234" t="s">
        <v>3461</v>
      </c>
      <c r="B234" t="s">
        <v>3461</v>
      </c>
      <c r="C234" t="s">
        <v>2736</v>
      </c>
      <c r="D234" t="s">
        <v>1203</v>
      </c>
      <c r="E234" t="s">
        <v>19</v>
      </c>
      <c r="G234" t="s">
        <v>20</v>
      </c>
      <c r="H234">
        <v>100000</v>
      </c>
      <c r="I234">
        <v>25</v>
      </c>
      <c r="J234">
        <v>0</v>
      </c>
      <c r="O234" t="s">
        <v>412</v>
      </c>
      <c r="P234" t="s">
        <v>3462</v>
      </c>
    </row>
    <row r="235" spans="1:16" x14ac:dyDescent="0.3">
      <c r="A235" t="s">
        <v>3463</v>
      </c>
      <c r="B235" t="s">
        <v>3463</v>
      </c>
      <c r="C235" t="s">
        <v>2736</v>
      </c>
      <c r="D235" t="s">
        <v>1203</v>
      </c>
      <c r="E235" t="s">
        <v>19</v>
      </c>
      <c r="G235" t="s">
        <v>20</v>
      </c>
      <c r="H235">
        <v>100000</v>
      </c>
      <c r="I235">
        <v>25</v>
      </c>
      <c r="J235">
        <v>0</v>
      </c>
      <c r="O235" t="s">
        <v>412</v>
      </c>
      <c r="P235" t="s">
        <v>3464</v>
      </c>
    </row>
    <row r="236" spans="1:16" x14ac:dyDescent="0.3">
      <c r="A236" t="s">
        <v>3465</v>
      </c>
      <c r="B236" t="s">
        <v>3465</v>
      </c>
      <c r="C236" t="s">
        <v>2736</v>
      </c>
      <c r="D236" t="s">
        <v>1203</v>
      </c>
      <c r="E236" t="s">
        <v>19</v>
      </c>
      <c r="G236" t="s">
        <v>20</v>
      </c>
      <c r="H236">
        <v>100000</v>
      </c>
      <c r="I236">
        <v>25</v>
      </c>
      <c r="J236">
        <v>0</v>
      </c>
      <c r="O236" t="s">
        <v>412</v>
      </c>
      <c r="P236" t="s">
        <v>3466</v>
      </c>
    </row>
    <row r="237" spans="1:16" x14ac:dyDescent="0.3">
      <c r="A237" t="s">
        <v>3467</v>
      </c>
      <c r="B237" t="s">
        <v>3467</v>
      </c>
      <c r="C237" t="s">
        <v>2736</v>
      </c>
      <c r="D237" t="s">
        <v>1203</v>
      </c>
      <c r="E237" t="s">
        <v>19</v>
      </c>
      <c r="G237" t="s">
        <v>20</v>
      </c>
      <c r="H237">
        <v>100000</v>
      </c>
      <c r="I237">
        <v>25</v>
      </c>
      <c r="J237">
        <v>0</v>
      </c>
      <c r="O237" t="s">
        <v>412</v>
      </c>
      <c r="P237" t="s">
        <v>3468</v>
      </c>
    </row>
    <row r="238" spans="1:16" x14ac:dyDescent="0.3">
      <c r="A238" t="s">
        <v>3469</v>
      </c>
      <c r="B238" t="s">
        <v>3469</v>
      </c>
      <c r="C238" t="s">
        <v>2736</v>
      </c>
      <c r="D238" t="s">
        <v>1203</v>
      </c>
      <c r="E238" t="s">
        <v>19</v>
      </c>
      <c r="G238" t="s">
        <v>20</v>
      </c>
      <c r="H238">
        <v>100000</v>
      </c>
      <c r="I238">
        <v>25</v>
      </c>
      <c r="J238">
        <v>0</v>
      </c>
      <c r="O238" t="s">
        <v>412</v>
      </c>
      <c r="P238" t="s">
        <v>3470</v>
      </c>
    </row>
    <row r="239" spans="1:16" x14ac:dyDescent="0.3">
      <c r="A239" t="s">
        <v>3471</v>
      </c>
      <c r="B239" t="s">
        <v>3471</v>
      </c>
      <c r="C239" t="s">
        <v>2736</v>
      </c>
      <c r="D239" t="s">
        <v>1203</v>
      </c>
      <c r="E239" t="s">
        <v>19</v>
      </c>
      <c r="G239" t="s">
        <v>20</v>
      </c>
      <c r="H239">
        <v>100000</v>
      </c>
      <c r="I239">
        <v>25</v>
      </c>
      <c r="J239">
        <v>0</v>
      </c>
      <c r="O239" t="s">
        <v>412</v>
      </c>
      <c r="P239" t="s">
        <v>3472</v>
      </c>
    </row>
    <row r="240" spans="1:16" x14ac:dyDescent="0.3">
      <c r="A240" t="s">
        <v>3473</v>
      </c>
      <c r="B240" t="s">
        <v>3473</v>
      </c>
      <c r="C240" t="s">
        <v>2736</v>
      </c>
      <c r="D240" t="s">
        <v>1203</v>
      </c>
      <c r="E240" t="s">
        <v>19</v>
      </c>
      <c r="G240" t="s">
        <v>20</v>
      </c>
      <c r="H240">
        <v>100000</v>
      </c>
      <c r="I240">
        <v>25</v>
      </c>
      <c r="J240">
        <v>0</v>
      </c>
      <c r="O240" t="s">
        <v>412</v>
      </c>
      <c r="P240" t="s">
        <v>3474</v>
      </c>
    </row>
    <row r="241" spans="1:16" x14ac:dyDescent="0.3">
      <c r="A241" t="s">
        <v>3475</v>
      </c>
      <c r="B241" t="s">
        <v>3475</v>
      </c>
      <c r="C241" t="s">
        <v>2736</v>
      </c>
      <c r="D241" t="s">
        <v>1203</v>
      </c>
      <c r="E241" t="s">
        <v>19</v>
      </c>
      <c r="G241" t="s">
        <v>20</v>
      </c>
      <c r="H241">
        <v>1000</v>
      </c>
      <c r="I241">
        <v>25</v>
      </c>
      <c r="J241">
        <v>0</v>
      </c>
      <c r="O241" t="s">
        <v>412</v>
      </c>
      <c r="P241" t="s">
        <v>3476</v>
      </c>
    </row>
    <row r="242" spans="1:16" x14ac:dyDescent="0.3">
      <c r="A242" t="s">
        <v>3477</v>
      </c>
      <c r="B242" t="s">
        <v>3477</v>
      </c>
      <c r="C242" t="s">
        <v>2736</v>
      </c>
      <c r="D242" t="s">
        <v>1203</v>
      </c>
      <c r="E242" t="s">
        <v>19</v>
      </c>
      <c r="G242" t="s">
        <v>20</v>
      </c>
      <c r="H242">
        <v>1000</v>
      </c>
      <c r="I242">
        <v>25</v>
      </c>
      <c r="J242">
        <v>0</v>
      </c>
      <c r="O242" t="s">
        <v>412</v>
      </c>
      <c r="P242" t="s">
        <v>3478</v>
      </c>
    </row>
    <row r="243" spans="1:16" x14ac:dyDescent="0.3">
      <c r="A243" t="s">
        <v>3479</v>
      </c>
      <c r="B243" t="s">
        <v>3479</v>
      </c>
      <c r="C243" t="s">
        <v>2736</v>
      </c>
      <c r="D243" t="s">
        <v>1203</v>
      </c>
      <c r="E243" t="s">
        <v>19</v>
      </c>
      <c r="G243" t="s">
        <v>20</v>
      </c>
      <c r="H243">
        <v>100000</v>
      </c>
      <c r="I243">
        <v>25</v>
      </c>
      <c r="J243">
        <v>0</v>
      </c>
      <c r="O243" t="s">
        <v>412</v>
      </c>
      <c r="P243" t="s">
        <v>3480</v>
      </c>
    </row>
    <row r="244" spans="1:16" x14ac:dyDescent="0.3">
      <c r="A244" t="s">
        <v>3481</v>
      </c>
      <c r="C244" t="s">
        <v>2736</v>
      </c>
      <c r="D244" t="s">
        <v>18</v>
      </c>
      <c r="E244" t="s">
        <v>19</v>
      </c>
      <c r="G244" t="s">
        <v>20</v>
      </c>
      <c r="H244">
        <v>100000</v>
      </c>
      <c r="I244">
        <v>0</v>
      </c>
      <c r="J244">
        <v>100000</v>
      </c>
      <c r="O244" t="s">
        <v>21</v>
      </c>
      <c r="P244" t="s">
        <v>3482</v>
      </c>
    </row>
    <row r="245" spans="1:16" x14ac:dyDescent="0.3">
      <c r="A245" t="s">
        <v>3483</v>
      </c>
      <c r="C245" t="s">
        <v>2736</v>
      </c>
      <c r="D245" t="s">
        <v>18</v>
      </c>
      <c r="E245" t="s">
        <v>19</v>
      </c>
      <c r="G245" t="s">
        <v>20</v>
      </c>
      <c r="H245">
        <v>100000</v>
      </c>
      <c r="I245">
        <v>0</v>
      </c>
      <c r="J245">
        <v>100000</v>
      </c>
      <c r="O245" t="s">
        <v>21</v>
      </c>
      <c r="P245" t="s">
        <v>3484</v>
      </c>
    </row>
    <row r="246" spans="1:16" x14ac:dyDescent="0.3">
      <c r="A246" t="s">
        <v>3485</v>
      </c>
      <c r="B246" t="s">
        <v>3485</v>
      </c>
      <c r="C246" t="s">
        <v>2736</v>
      </c>
      <c r="D246" t="s">
        <v>1203</v>
      </c>
      <c r="E246" t="s">
        <v>19</v>
      </c>
      <c r="G246" t="s">
        <v>20</v>
      </c>
      <c r="H246">
        <v>200000</v>
      </c>
      <c r="I246">
        <v>25</v>
      </c>
      <c r="J246">
        <v>0</v>
      </c>
      <c r="O246" t="s">
        <v>412</v>
      </c>
      <c r="P246" t="s">
        <v>3486</v>
      </c>
    </row>
    <row r="247" spans="1:16" x14ac:dyDescent="0.3">
      <c r="A247" t="s">
        <v>3487</v>
      </c>
      <c r="B247" t="s">
        <v>3487</v>
      </c>
      <c r="C247" t="s">
        <v>2736</v>
      </c>
      <c r="D247" t="s">
        <v>1203</v>
      </c>
      <c r="E247" t="s">
        <v>19</v>
      </c>
      <c r="G247" t="s">
        <v>20</v>
      </c>
      <c r="H247">
        <v>204000</v>
      </c>
      <c r="I247">
        <v>25</v>
      </c>
      <c r="J247">
        <v>0</v>
      </c>
      <c r="O247" t="s">
        <v>412</v>
      </c>
      <c r="P247" t="s">
        <v>3488</v>
      </c>
    </row>
    <row r="248" spans="1:16" x14ac:dyDescent="0.3">
      <c r="A248" t="s">
        <v>3489</v>
      </c>
      <c r="B248" t="s">
        <v>3489</v>
      </c>
      <c r="C248" t="s">
        <v>2736</v>
      </c>
      <c r="D248" t="s">
        <v>1203</v>
      </c>
      <c r="E248" t="s">
        <v>19</v>
      </c>
      <c r="G248" t="s">
        <v>20</v>
      </c>
      <c r="H248">
        <v>204000</v>
      </c>
      <c r="I248">
        <v>25</v>
      </c>
      <c r="J248">
        <v>0</v>
      </c>
      <c r="O248" t="s">
        <v>412</v>
      </c>
      <c r="P248" t="s">
        <v>3490</v>
      </c>
    </row>
    <row r="249" spans="1:16" x14ac:dyDescent="0.3">
      <c r="A249" t="s">
        <v>3491</v>
      </c>
      <c r="C249" t="s">
        <v>2736</v>
      </c>
      <c r="D249" t="s">
        <v>404</v>
      </c>
      <c r="E249" t="s">
        <v>19</v>
      </c>
      <c r="F249" t="s">
        <v>3492</v>
      </c>
      <c r="G249" t="s">
        <v>20</v>
      </c>
      <c r="H249">
        <v>199570</v>
      </c>
      <c r="I249">
        <v>0</v>
      </c>
      <c r="J249">
        <v>0</v>
      </c>
      <c r="O249" t="s">
        <v>21</v>
      </c>
      <c r="P249" t="s">
        <v>3493</v>
      </c>
    </row>
    <row r="250" spans="1:16" x14ac:dyDescent="0.3">
      <c r="A250" t="s">
        <v>3494</v>
      </c>
      <c r="C250" t="s">
        <v>2736</v>
      </c>
      <c r="D250" t="s">
        <v>408</v>
      </c>
      <c r="E250" t="s">
        <v>409</v>
      </c>
      <c r="G250" t="s">
        <v>20</v>
      </c>
      <c r="H250">
        <v>5000</v>
      </c>
      <c r="I250" s="1" t="s">
        <v>1275</v>
      </c>
      <c r="J250">
        <v>4973.125</v>
      </c>
      <c r="O250" t="s">
        <v>21</v>
      </c>
      <c r="P250" t="s">
        <v>3495</v>
      </c>
    </row>
    <row r="251" spans="1:16" x14ac:dyDescent="0.3">
      <c r="A251" t="s">
        <v>3496</v>
      </c>
      <c r="C251" t="s">
        <v>2736</v>
      </c>
      <c r="D251" t="s">
        <v>408</v>
      </c>
      <c r="E251" t="s">
        <v>409</v>
      </c>
      <c r="G251" t="s">
        <v>20</v>
      </c>
      <c r="H251">
        <v>5000</v>
      </c>
      <c r="I251" s="1" t="s">
        <v>1275</v>
      </c>
      <c r="J251">
        <v>4973.125</v>
      </c>
      <c r="O251" t="s">
        <v>412</v>
      </c>
      <c r="P251" t="s">
        <v>3497</v>
      </c>
    </row>
    <row r="252" spans="1:16" x14ac:dyDescent="0.3">
      <c r="A252" t="s">
        <v>3498</v>
      </c>
      <c r="C252" t="s">
        <v>2736</v>
      </c>
      <c r="D252" t="s">
        <v>408</v>
      </c>
      <c r="E252" t="s">
        <v>409</v>
      </c>
      <c r="G252" t="s">
        <v>20</v>
      </c>
      <c r="H252">
        <v>5000</v>
      </c>
      <c r="I252" s="1" t="s">
        <v>1275</v>
      </c>
      <c r="J252">
        <v>4973.125</v>
      </c>
      <c r="O252" t="s">
        <v>412</v>
      </c>
      <c r="P252" t="s">
        <v>3499</v>
      </c>
    </row>
    <row r="253" spans="1:16" x14ac:dyDescent="0.3">
      <c r="A253" t="s">
        <v>3500</v>
      </c>
      <c r="C253" t="s">
        <v>2736</v>
      </c>
      <c r="D253" t="s">
        <v>408</v>
      </c>
      <c r="E253" t="s">
        <v>409</v>
      </c>
      <c r="G253" t="s">
        <v>20</v>
      </c>
      <c r="H253">
        <v>5000</v>
      </c>
      <c r="I253" s="1" t="s">
        <v>1275</v>
      </c>
      <c r="J253">
        <v>4973.125</v>
      </c>
      <c r="O253" t="s">
        <v>412</v>
      </c>
      <c r="P253" t="s">
        <v>3501</v>
      </c>
    </row>
    <row r="254" spans="1:16" x14ac:dyDescent="0.3">
      <c r="A254" t="s">
        <v>3502</v>
      </c>
      <c r="C254" t="s">
        <v>2736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412</v>
      </c>
      <c r="P254" t="s">
        <v>3503</v>
      </c>
    </row>
    <row r="255" spans="1:16" x14ac:dyDescent="0.3">
      <c r="A255" t="s">
        <v>3504</v>
      </c>
      <c r="C255" t="s">
        <v>2736</v>
      </c>
      <c r="D255" t="s">
        <v>408</v>
      </c>
      <c r="E255" t="s">
        <v>409</v>
      </c>
      <c r="G255" t="s">
        <v>20</v>
      </c>
      <c r="H255">
        <v>5000</v>
      </c>
      <c r="I255" s="1" t="s">
        <v>1275</v>
      </c>
      <c r="J255">
        <v>4973.125</v>
      </c>
      <c r="O255" t="s">
        <v>21</v>
      </c>
      <c r="P255" t="s">
        <v>3505</v>
      </c>
    </row>
    <row r="256" spans="1:16" x14ac:dyDescent="0.3">
      <c r="A256" t="s">
        <v>3506</v>
      </c>
      <c r="C256" t="s">
        <v>2736</v>
      </c>
      <c r="D256" t="s">
        <v>408</v>
      </c>
      <c r="E256" t="s">
        <v>409</v>
      </c>
      <c r="G256" t="s">
        <v>20</v>
      </c>
      <c r="H256">
        <v>10000</v>
      </c>
      <c r="I256" s="1" t="s">
        <v>1432</v>
      </c>
      <c r="J256">
        <v>9946.25</v>
      </c>
      <c r="O256" t="s">
        <v>412</v>
      </c>
      <c r="P256" t="s">
        <v>3507</v>
      </c>
    </row>
    <row r="257" spans="1:16" x14ac:dyDescent="0.3">
      <c r="A257" t="s">
        <v>3508</v>
      </c>
      <c r="C257" t="s">
        <v>2736</v>
      </c>
      <c r="D257" t="s">
        <v>408</v>
      </c>
      <c r="E257" t="s">
        <v>409</v>
      </c>
      <c r="G257" t="s">
        <v>20</v>
      </c>
      <c r="H257">
        <v>10000</v>
      </c>
      <c r="I257" s="1" t="s">
        <v>1432</v>
      </c>
      <c r="J257">
        <v>9946.25</v>
      </c>
      <c r="O257" t="s">
        <v>21</v>
      </c>
      <c r="P257" t="s">
        <v>3509</v>
      </c>
    </row>
    <row r="258" spans="1:16" x14ac:dyDescent="0.3">
      <c r="A258" t="s">
        <v>3510</v>
      </c>
      <c r="C258" t="s">
        <v>2736</v>
      </c>
      <c r="D258" t="s">
        <v>408</v>
      </c>
      <c r="E258" t="s">
        <v>409</v>
      </c>
      <c r="G258" t="s">
        <v>20</v>
      </c>
      <c r="H258">
        <v>20000</v>
      </c>
      <c r="I258" s="1" t="s">
        <v>2155</v>
      </c>
      <c r="J258">
        <v>19892.5</v>
      </c>
      <c r="O258" t="s">
        <v>412</v>
      </c>
      <c r="P258" t="s">
        <v>3511</v>
      </c>
    </row>
    <row r="259" spans="1:16" x14ac:dyDescent="0.3">
      <c r="A259" t="s">
        <v>3512</v>
      </c>
      <c r="C259" t="s">
        <v>2736</v>
      </c>
      <c r="D259" t="s">
        <v>408</v>
      </c>
      <c r="E259" t="s">
        <v>409</v>
      </c>
      <c r="G259" t="s">
        <v>20</v>
      </c>
      <c r="H259">
        <v>20000</v>
      </c>
      <c r="I259" s="1" t="s">
        <v>2155</v>
      </c>
      <c r="J259">
        <v>19892.5</v>
      </c>
      <c r="O259" t="s">
        <v>412</v>
      </c>
      <c r="P259" t="s">
        <v>3513</v>
      </c>
    </row>
    <row r="260" spans="1:16" x14ac:dyDescent="0.3">
      <c r="A260" t="s">
        <v>3514</v>
      </c>
      <c r="C260" t="s">
        <v>2736</v>
      </c>
      <c r="D260" t="s">
        <v>408</v>
      </c>
      <c r="E260" t="s">
        <v>409</v>
      </c>
      <c r="G260" t="s">
        <v>20</v>
      </c>
      <c r="H260">
        <v>20000</v>
      </c>
      <c r="I260" s="1" t="s">
        <v>2155</v>
      </c>
      <c r="J260">
        <v>19892.5</v>
      </c>
      <c r="O260" t="s">
        <v>412</v>
      </c>
      <c r="P260" t="s">
        <v>3515</v>
      </c>
    </row>
    <row r="261" spans="1:16" x14ac:dyDescent="0.3">
      <c r="A261" t="s">
        <v>3516</v>
      </c>
      <c r="C261" t="s">
        <v>2736</v>
      </c>
      <c r="D261" t="s">
        <v>408</v>
      </c>
      <c r="E261" t="s">
        <v>409</v>
      </c>
      <c r="G261" t="s">
        <v>20</v>
      </c>
      <c r="H261">
        <v>30000</v>
      </c>
      <c r="I261">
        <v>107.5</v>
      </c>
      <c r="J261">
        <v>29892.5</v>
      </c>
      <c r="O261" t="s">
        <v>21</v>
      </c>
      <c r="P261" t="s">
        <v>3517</v>
      </c>
    </row>
    <row r="262" spans="1:16" x14ac:dyDescent="0.3">
      <c r="A262" t="s">
        <v>3518</v>
      </c>
      <c r="C262" t="s">
        <v>2736</v>
      </c>
      <c r="D262" t="s">
        <v>408</v>
      </c>
      <c r="E262" t="s">
        <v>409</v>
      </c>
      <c r="G262" t="s">
        <v>20</v>
      </c>
      <c r="H262">
        <v>50000</v>
      </c>
      <c r="I262">
        <v>107.5</v>
      </c>
      <c r="J262">
        <v>49892.5</v>
      </c>
      <c r="O262" t="s">
        <v>412</v>
      </c>
      <c r="P262" t="s">
        <v>3519</v>
      </c>
    </row>
    <row r="263" spans="1:16" x14ac:dyDescent="0.3">
      <c r="A263" t="s">
        <v>3520</v>
      </c>
      <c r="C263" t="s">
        <v>2736</v>
      </c>
      <c r="D263" t="s">
        <v>408</v>
      </c>
      <c r="E263" t="s">
        <v>409</v>
      </c>
      <c r="G263" t="s">
        <v>20</v>
      </c>
      <c r="H263">
        <v>50000</v>
      </c>
      <c r="I263">
        <v>107.5</v>
      </c>
      <c r="J263">
        <v>49892.5</v>
      </c>
      <c r="O263" t="s">
        <v>412</v>
      </c>
      <c r="P263" t="s">
        <v>3521</v>
      </c>
    </row>
    <row r="264" spans="1:16" x14ac:dyDescent="0.3">
      <c r="A264" t="s">
        <v>3522</v>
      </c>
      <c r="C264" t="s">
        <v>2736</v>
      </c>
      <c r="D264" t="s">
        <v>408</v>
      </c>
      <c r="E264" t="s">
        <v>409</v>
      </c>
      <c r="G264" t="s">
        <v>20</v>
      </c>
      <c r="H264">
        <v>50000</v>
      </c>
      <c r="I264">
        <v>107.5</v>
      </c>
      <c r="J264">
        <v>49892.5</v>
      </c>
      <c r="O264" t="s">
        <v>21</v>
      </c>
      <c r="P264" t="s">
        <v>3523</v>
      </c>
    </row>
    <row r="265" spans="1:16" x14ac:dyDescent="0.3">
      <c r="A265" t="s">
        <v>3524</v>
      </c>
      <c r="C265" t="s">
        <v>2736</v>
      </c>
      <c r="D265" t="s">
        <v>408</v>
      </c>
      <c r="E265" t="s">
        <v>409</v>
      </c>
      <c r="G265" t="s">
        <v>20</v>
      </c>
      <c r="H265">
        <v>100000</v>
      </c>
      <c r="I265">
        <v>107.5</v>
      </c>
      <c r="J265">
        <v>99892.5</v>
      </c>
      <c r="O265" t="s">
        <v>412</v>
      </c>
      <c r="P265" t="s">
        <v>3525</v>
      </c>
    </row>
    <row r="266" spans="1:16" x14ac:dyDescent="0.3">
      <c r="A266" t="s">
        <v>3526</v>
      </c>
      <c r="C266" t="s">
        <v>2736</v>
      </c>
      <c r="D266" t="s">
        <v>408</v>
      </c>
      <c r="E266" t="s">
        <v>409</v>
      </c>
      <c r="G266" t="s">
        <v>20</v>
      </c>
      <c r="H266">
        <v>100000</v>
      </c>
      <c r="I266">
        <v>107.5</v>
      </c>
      <c r="J266">
        <v>99892.5</v>
      </c>
      <c r="O266" t="s">
        <v>21</v>
      </c>
      <c r="P266" t="s">
        <v>3527</v>
      </c>
    </row>
    <row r="267" spans="1:16" x14ac:dyDescent="0.3">
      <c r="A267" t="s">
        <v>3528</v>
      </c>
      <c r="C267" t="s">
        <v>2736</v>
      </c>
      <c r="D267" t="s">
        <v>408</v>
      </c>
      <c r="E267" t="s">
        <v>409</v>
      </c>
      <c r="G267" t="s">
        <v>20</v>
      </c>
      <c r="H267">
        <v>200000</v>
      </c>
      <c r="I267">
        <v>107.5</v>
      </c>
      <c r="J267">
        <v>199892.5</v>
      </c>
      <c r="O267" t="s">
        <v>412</v>
      </c>
      <c r="P267" t="s">
        <v>3529</v>
      </c>
    </row>
    <row r="268" spans="1:16" x14ac:dyDescent="0.3">
      <c r="A268" t="s">
        <v>3530</v>
      </c>
      <c r="B268" s="1" t="s">
        <v>3531</v>
      </c>
      <c r="C268" t="s">
        <v>2736</v>
      </c>
      <c r="D268" t="s">
        <v>1203</v>
      </c>
      <c r="E268" t="s">
        <v>19</v>
      </c>
      <c r="G268" t="s">
        <v>20</v>
      </c>
      <c r="H268">
        <v>200000</v>
      </c>
      <c r="I268">
        <v>25</v>
      </c>
      <c r="J268">
        <v>0</v>
      </c>
      <c r="O268" t="s">
        <v>21</v>
      </c>
      <c r="P268" t="s">
        <v>3532</v>
      </c>
    </row>
    <row r="269" spans="1:16" x14ac:dyDescent="0.3">
      <c r="A269" t="s">
        <v>3533</v>
      </c>
      <c r="C269" t="s">
        <v>2736</v>
      </c>
      <c r="D269" t="s">
        <v>1116</v>
      </c>
      <c r="E269" t="s">
        <v>1117</v>
      </c>
      <c r="F269" t="s">
        <v>1196</v>
      </c>
      <c r="G269" t="s">
        <v>20</v>
      </c>
      <c r="H269">
        <v>0</v>
      </c>
      <c r="I269">
        <v>0</v>
      </c>
      <c r="J269">
        <v>0</v>
      </c>
      <c r="O269" t="s">
        <v>21</v>
      </c>
      <c r="P269" t="s">
        <v>3534</v>
      </c>
    </row>
    <row r="270" spans="1:16" x14ac:dyDescent="0.3">
      <c r="A270" t="s">
        <v>3535</v>
      </c>
      <c r="C270" t="s">
        <v>2736</v>
      </c>
      <c r="D270" t="s">
        <v>408</v>
      </c>
      <c r="E270" t="s">
        <v>409</v>
      </c>
      <c r="G270" t="s">
        <v>20</v>
      </c>
      <c r="H270">
        <v>500</v>
      </c>
      <c r="I270">
        <v>2.6875</v>
      </c>
      <c r="J270">
        <v>497.3125</v>
      </c>
      <c r="O270" t="s">
        <v>21</v>
      </c>
      <c r="P270" t="s">
        <v>3536</v>
      </c>
    </row>
    <row r="271" spans="1:16" x14ac:dyDescent="0.3">
      <c r="A271" t="s">
        <v>3537</v>
      </c>
      <c r="B271" s="1" t="s">
        <v>3538</v>
      </c>
      <c r="C271" t="s">
        <v>2736</v>
      </c>
      <c r="D271" t="s">
        <v>29</v>
      </c>
      <c r="E271" t="s">
        <v>19</v>
      </c>
      <c r="F271" t="s">
        <v>3539</v>
      </c>
      <c r="G271" t="s">
        <v>20</v>
      </c>
      <c r="H271">
        <v>150000</v>
      </c>
      <c r="I271">
        <v>32.25</v>
      </c>
      <c r="J271">
        <v>149967.75</v>
      </c>
      <c r="L271">
        <v>12</v>
      </c>
      <c r="M271">
        <v>2.25</v>
      </c>
      <c r="N271">
        <v>0</v>
      </c>
      <c r="O271" t="s">
        <v>21</v>
      </c>
      <c r="P271" t="s">
        <v>3540</v>
      </c>
    </row>
    <row r="272" spans="1:16" x14ac:dyDescent="0.3">
      <c r="A272" t="s">
        <v>3541</v>
      </c>
      <c r="B272" s="1" t="s">
        <v>3542</v>
      </c>
      <c r="C272" t="s">
        <v>2736</v>
      </c>
      <c r="D272" t="s">
        <v>29</v>
      </c>
      <c r="E272" t="s">
        <v>19</v>
      </c>
      <c r="F272" t="s">
        <v>3543</v>
      </c>
      <c r="G272" t="s">
        <v>20</v>
      </c>
      <c r="H272">
        <v>10000</v>
      </c>
      <c r="I272">
        <v>32.25</v>
      </c>
      <c r="J272">
        <v>9967.75</v>
      </c>
      <c r="L272">
        <v>12</v>
      </c>
      <c r="M272">
        <v>2.25</v>
      </c>
      <c r="N272">
        <v>0</v>
      </c>
      <c r="O272" t="s">
        <v>21</v>
      </c>
      <c r="P272" t="s">
        <v>3544</v>
      </c>
    </row>
    <row r="273" spans="1:16" x14ac:dyDescent="0.3">
      <c r="A273" t="s">
        <v>3545</v>
      </c>
      <c r="B273" s="1" t="s">
        <v>3546</v>
      </c>
      <c r="C273" t="s">
        <v>2736</v>
      </c>
      <c r="D273" t="s">
        <v>29</v>
      </c>
      <c r="E273" t="s">
        <v>19</v>
      </c>
      <c r="F273" t="s">
        <v>3547</v>
      </c>
      <c r="G273" t="s">
        <v>20</v>
      </c>
      <c r="H273">
        <v>5000</v>
      </c>
      <c r="I273">
        <v>32.25</v>
      </c>
      <c r="J273">
        <v>4967.75</v>
      </c>
      <c r="L273">
        <v>12</v>
      </c>
      <c r="M273">
        <v>2.25</v>
      </c>
      <c r="N273">
        <v>0</v>
      </c>
      <c r="O273" t="s">
        <v>21</v>
      </c>
      <c r="P273" t="s">
        <v>3548</v>
      </c>
    </row>
    <row r="274" spans="1:16" x14ac:dyDescent="0.3">
      <c r="A274" t="s">
        <v>3549</v>
      </c>
      <c r="B274" s="1" t="s">
        <v>3550</v>
      </c>
      <c r="C274" t="s">
        <v>2736</v>
      </c>
      <c r="D274" t="s">
        <v>29</v>
      </c>
      <c r="E274" t="s">
        <v>19</v>
      </c>
      <c r="F274" t="s">
        <v>3551</v>
      </c>
      <c r="G274" t="s">
        <v>20</v>
      </c>
      <c r="H274">
        <v>10000</v>
      </c>
      <c r="I274">
        <v>32.25</v>
      </c>
      <c r="J274">
        <v>9967.75</v>
      </c>
      <c r="L274">
        <v>12</v>
      </c>
      <c r="M274">
        <v>2.25</v>
      </c>
      <c r="N274">
        <v>0</v>
      </c>
      <c r="O274" t="s">
        <v>21</v>
      </c>
      <c r="P274" t="s">
        <v>3552</v>
      </c>
    </row>
    <row r="275" spans="1:16" x14ac:dyDescent="0.3">
      <c r="A275" t="s">
        <v>3553</v>
      </c>
      <c r="B275" s="1" t="s">
        <v>3554</v>
      </c>
      <c r="C275" t="s">
        <v>2736</v>
      </c>
      <c r="D275" t="s">
        <v>29</v>
      </c>
      <c r="E275" t="s">
        <v>19</v>
      </c>
      <c r="F275" t="s">
        <v>3555</v>
      </c>
      <c r="G275" t="s">
        <v>20</v>
      </c>
      <c r="H275">
        <v>30000</v>
      </c>
      <c r="I275">
        <v>32.25</v>
      </c>
      <c r="J275">
        <v>29967.75</v>
      </c>
      <c r="L275">
        <v>12</v>
      </c>
      <c r="M275">
        <v>2.25</v>
      </c>
      <c r="N275">
        <v>0</v>
      </c>
      <c r="O275" t="s">
        <v>21</v>
      </c>
      <c r="P275" t="s">
        <v>3556</v>
      </c>
    </row>
    <row r="276" spans="1:16" x14ac:dyDescent="0.3">
      <c r="A276" t="s">
        <v>3557</v>
      </c>
      <c r="B276" s="1" t="s">
        <v>3558</v>
      </c>
      <c r="C276" t="s">
        <v>2736</v>
      </c>
      <c r="D276" t="s">
        <v>29</v>
      </c>
      <c r="E276" t="s">
        <v>1217</v>
      </c>
      <c r="F276" t="s">
        <v>3559</v>
      </c>
      <c r="G276" t="s">
        <v>20</v>
      </c>
      <c r="H276">
        <v>100</v>
      </c>
      <c r="I276">
        <v>32.25</v>
      </c>
      <c r="J276">
        <v>67.75</v>
      </c>
      <c r="O276" t="s">
        <v>21</v>
      </c>
      <c r="P276" t="s">
        <v>3560</v>
      </c>
    </row>
    <row r="277" spans="1:16" x14ac:dyDescent="0.3">
      <c r="A277" t="s">
        <v>3561</v>
      </c>
      <c r="C277" t="s">
        <v>2736</v>
      </c>
      <c r="D277" t="s">
        <v>1116</v>
      </c>
      <c r="E277" t="s">
        <v>1195</v>
      </c>
      <c r="F277" t="s">
        <v>1196</v>
      </c>
      <c r="G277" t="s">
        <v>20</v>
      </c>
      <c r="H277">
        <v>0</v>
      </c>
      <c r="I277">
        <v>0</v>
      </c>
      <c r="J277">
        <v>0</v>
      </c>
      <c r="O277" t="s">
        <v>21</v>
      </c>
      <c r="P277" t="s">
        <v>3562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319-871F-4491-9E10-EA9260894ECF}">
  <dimension ref="A1:P5"/>
  <sheetViews>
    <sheetView workbookViewId="0">
      <selection activeCell="L10" sqref="L10"/>
    </sheetView>
  </sheetViews>
  <sheetFormatPr defaultRowHeight="14.4" x14ac:dyDescent="0.3"/>
  <cols>
    <col min="3" max="3" width="1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3563</v>
      </c>
      <c r="B2" s="1" t="s">
        <v>3564</v>
      </c>
      <c r="C2" t="s">
        <v>3565</v>
      </c>
      <c r="D2" t="s">
        <v>1203</v>
      </c>
      <c r="E2" t="s">
        <v>19</v>
      </c>
      <c r="G2" t="s">
        <v>20</v>
      </c>
      <c r="H2">
        <v>3900</v>
      </c>
      <c r="I2">
        <v>25</v>
      </c>
      <c r="J2">
        <v>0</v>
      </c>
      <c r="O2" t="s">
        <v>21</v>
      </c>
      <c r="P2" t="s">
        <v>3566</v>
      </c>
    </row>
    <row r="3" spans="1:16" x14ac:dyDescent="0.3">
      <c r="A3" t="s">
        <v>3567</v>
      </c>
      <c r="C3" t="s">
        <v>3565</v>
      </c>
      <c r="D3" t="s">
        <v>1116</v>
      </c>
      <c r="E3" t="s">
        <v>1117</v>
      </c>
      <c r="F3" t="s">
        <v>1196</v>
      </c>
      <c r="G3" t="s">
        <v>20</v>
      </c>
      <c r="H3">
        <v>0</v>
      </c>
      <c r="I3">
        <v>0</v>
      </c>
      <c r="J3">
        <v>0</v>
      </c>
      <c r="O3" t="s">
        <v>21</v>
      </c>
      <c r="P3" t="s">
        <v>3568</v>
      </c>
    </row>
    <row r="4" spans="1:16" x14ac:dyDescent="0.3">
      <c r="A4" t="s">
        <v>3569</v>
      </c>
      <c r="B4" s="1" t="s">
        <v>3570</v>
      </c>
      <c r="C4" t="s">
        <v>3565</v>
      </c>
      <c r="D4" t="s">
        <v>29</v>
      </c>
      <c r="E4" t="s">
        <v>1217</v>
      </c>
      <c r="F4" t="s">
        <v>3571</v>
      </c>
      <c r="G4" t="s">
        <v>20</v>
      </c>
      <c r="H4">
        <v>4000</v>
      </c>
      <c r="I4">
        <v>32.25</v>
      </c>
      <c r="J4">
        <v>3967.75</v>
      </c>
      <c r="O4" t="s">
        <v>21</v>
      </c>
      <c r="P4" t="s">
        <v>3572</v>
      </c>
    </row>
    <row r="5" spans="1:16" x14ac:dyDescent="0.3">
      <c r="A5" t="s">
        <v>3573</v>
      </c>
      <c r="C5" t="s">
        <v>3565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3574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AA92-C737-442F-A600-609C745A952D}">
  <dimension ref="A1:P15"/>
  <sheetViews>
    <sheetView tabSelected="1" workbookViewId="0">
      <selection activeCell="C2" sqref="C2"/>
    </sheetView>
  </sheetViews>
  <sheetFormatPr defaultRowHeight="14.4" x14ac:dyDescent="0.3"/>
  <cols>
    <col min="3" max="3" width="1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3575</v>
      </c>
      <c r="C2" t="s">
        <v>3576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3577</v>
      </c>
    </row>
    <row r="3" spans="1:16" x14ac:dyDescent="0.3">
      <c r="A3" t="s">
        <v>3578</v>
      </c>
      <c r="C3" t="s">
        <v>3576</v>
      </c>
      <c r="D3" t="s">
        <v>18</v>
      </c>
      <c r="E3" t="s">
        <v>19</v>
      </c>
      <c r="G3" t="s">
        <v>20</v>
      </c>
      <c r="H3">
        <v>106521.5</v>
      </c>
      <c r="I3">
        <v>0</v>
      </c>
      <c r="J3">
        <v>106521.5</v>
      </c>
      <c r="O3" t="s">
        <v>21</v>
      </c>
      <c r="P3" t="s">
        <v>3579</v>
      </c>
    </row>
    <row r="4" spans="1:16" x14ac:dyDescent="0.3">
      <c r="A4" t="s">
        <v>3580</v>
      </c>
      <c r="C4" t="s">
        <v>3576</v>
      </c>
      <c r="D4" t="s">
        <v>18</v>
      </c>
      <c r="E4" t="s">
        <v>19</v>
      </c>
      <c r="G4" t="s">
        <v>20</v>
      </c>
      <c r="H4">
        <v>106779</v>
      </c>
      <c r="I4">
        <v>0</v>
      </c>
      <c r="J4">
        <v>106779</v>
      </c>
      <c r="O4" t="s">
        <v>21</v>
      </c>
      <c r="P4" t="s">
        <v>3581</v>
      </c>
    </row>
    <row r="5" spans="1:16" x14ac:dyDescent="0.3">
      <c r="A5" t="s">
        <v>3582</v>
      </c>
      <c r="C5" t="s">
        <v>3576</v>
      </c>
      <c r="D5" t="s">
        <v>18</v>
      </c>
      <c r="E5" t="s">
        <v>19</v>
      </c>
      <c r="G5" t="s">
        <v>20</v>
      </c>
      <c r="H5">
        <v>106779</v>
      </c>
      <c r="I5">
        <v>0</v>
      </c>
      <c r="J5">
        <v>106779</v>
      </c>
      <c r="O5" t="s">
        <v>21</v>
      </c>
      <c r="P5" t="s">
        <v>3583</v>
      </c>
    </row>
    <row r="6" spans="1:16" x14ac:dyDescent="0.3">
      <c r="A6" t="s">
        <v>3584</v>
      </c>
      <c r="C6" t="s">
        <v>3576</v>
      </c>
      <c r="D6" t="s">
        <v>408</v>
      </c>
      <c r="E6" t="s">
        <v>409</v>
      </c>
      <c r="G6" t="s">
        <v>20</v>
      </c>
      <c r="H6">
        <v>68000</v>
      </c>
      <c r="I6">
        <v>107.5</v>
      </c>
      <c r="J6">
        <v>67892.5</v>
      </c>
      <c r="O6" t="s">
        <v>21</v>
      </c>
      <c r="P6" t="s">
        <v>3585</v>
      </c>
    </row>
    <row r="7" spans="1:16" x14ac:dyDescent="0.3">
      <c r="A7" t="s">
        <v>3586</v>
      </c>
      <c r="C7" t="s">
        <v>3576</v>
      </c>
      <c r="D7" t="s">
        <v>408</v>
      </c>
      <c r="E7" t="s">
        <v>409</v>
      </c>
      <c r="G7" t="s">
        <v>20</v>
      </c>
      <c r="H7">
        <v>38000</v>
      </c>
      <c r="I7">
        <v>107.5</v>
      </c>
      <c r="J7">
        <v>37892.5</v>
      </c>
      <c r="O7" t="s">
        <v>21</v>
      </c>
      <c r="P7" t="s">
        <v>3587</v>
      </c>
    </row>
    <row r="8" spans="1:16" x14ac:dyDescent="0.3">
      <c r="A8" t="s">
        <v>3588</v>
      </c>
      <c r="C8" t="s">
        <v>3576</v>
      </c>
      <c r="D8" t="s">
        <v>408</v>
      </c>
      <c r="E8" t="s">
        <v>409</v>
      </c>
      <c r="G8" t="s">
        <v>20</v>
      </c>
      <c r="H8">
        <v>1000</v>
      </c>
      <c r="I8">
        <v>5.375</v>
      </c>
      <c r="J8">
        <v>994.625</v>
      </c>
      <c r="O8" t="s">
        <v>21</v>
      </c>
      <c r="P8" t="s">
        <v>3589</v>
      </c>
    </row>
    <row r="9" spans="1:16" x14ac:dyDescent="0.3">
      <c r="A9" t="s">
        <v>3590</v>
      </c>
      <c r="C9" t="s">
        <v>3576</v>
      </c>
      <c r="D9" t="s">
        <v>1116</v>
      </c>
      <c r="E9" t="s">
        <v>1195</v>
      </c>
      <c r="F9" t="s">
        <v>1196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3591</v>
      </c>
    </row>
    <row r="10" spans="1:16" x14ac:dyDescent="0.3">
      <c r="A10" t="s">
        <v>3592</v>
      </c>
      <c r="C10" t="s">
        <v>3576</v>
      </c>
      <c r="D10" t="s">
        <v>1116</v>
      </c>
      <c r="E10" t="s">
        <v>1117</v>
      </c>
      <c r="F10" t="s">
        <v>1305</v>
      </c>
      <c r="G10" t="s">
        <v>20</v>
      </c>
      <c r="H10">
        <v>0</v>
      </c>
      <c r="I10">
        <v>0</v>
      </c>
      <c r="J10">
        <v>0</v>
      </c>
      <c r="O10" t="s">
        <v>21</v>
      </c>
      <c r="P10" t="s">
        <v>3593</v>
      </c>
    </row>
    <row r="11" spans="1:16" x14ac:dyDescent="0.3">
      <c r="A11" t="s">
        <v>3594</v>
      </c>
      <c r="C11" t="s">
        <v>3576</v>
      </c>
      <c r="D11" t="s">
        <v>18</v>
      </c>
      <c r="E11" t="s">
        <v>19</v>
      </c>
      <c r="G11" t="s">
        <v>20</v>
      </c>
      <c r="H11">
        <v>36021.5</v>
      </c>
      <c r="I11">
        <v>0</v>
      </c>
      <c r="J11">
        <v>36021.5</v>
      </c>
      <c r="O11" t="s">
        <v>21</v>
      </c>
      <c r="P11" t="s">
        <v>3595</v>
      </c>
    </row>
    <row r="12" spans="1:16" x14ac:dyDescent="0.3">
      <c r="A12" t="s">
        <v>3596</v>
      </c>
      <c r="C12" t="s">
        <v>3576</v>
      </c>
      <c r="D12" t="s">
        <v>18</v>
      </c>
      <c r="E12" t="s">
        <v>19</v>
      </c>
      <c r="G12" t="s">
        <v>20</v>
      </c>
      <c r="H12">
        <v>36156</v>
      </c>
      <c r="I12">
        <v>0</v>
      </c>
      <c r="J12">
        <v>36156</v>
      </c>
      <c r="O12" t="s">
        <v>21</v>
      </c>
      <c r="P12" t="s">
        <v>3597</v>
      </c>
    </row>
    <row r="13" spans="1:16" x14ac:dyDescent="0.3">
      <c r="A13" t="s">
        <v>3598</v>
      </c>
      <c r="C13" t="s">
        <v>3576</v>
      </c>
      <c r="D13" t="s">
        <v>18</v>
      </c>
      <c r="E13" t="s">
        <v>19</v>
      </c>
      <c r="G13" t="s">
        <v>20</v>
      </c>
      <c r="H13">
        <v>36156</v>
      </c>
      <c r="I13">
        <v>0</v>
      </c>
      <c r="J13">
        <v>36156</v>
      </c>
      <c r="O13" t="s">
        <v>21</v>
      </c>
      <c r="P13" t="s">
        <v>3599</v>
      </c>
    </row>
    <row r="14" spans="1:16" x14ac:dyDescent="0.3">
      <c r="A14" t="s">
        <v>3600</v>
      </c>
      <c r="B14" s="1" t="s">
        <v>3601</v>
      </c>
      <c r="C14" t="s">
        <v>3576</v>
      </c>
      <c r="D14" t="s">
        <v>29</v>
      </c>
      <c r="E14" t="s">
        <v>3602</v>
      </c>
      <c r="F14" t="s">
        <v>3603</v>
      </c>
      <c r="G14" t="s">
        <v>20</v>
      </c>
      <c r="H14">
        <v>36749.050000000003</v>
      </c>
      <c r="I14" s="1" t="s">
        <v>3604</v>
      </c>
      <c r="J14">
        <v>36156.471568749999</v>
      </c>
      <c r="L14">
        <v>275.61787500000003</v>
      </c>
      <c r="M14" s="1" t="s">
        <v>3605</v>
      </c>
      <c r="N14">
        <v>0</v>
      </c>
      <c r="O14" t="s">
        <v>21</v>
      </c>
      <c r="P14" t="s">
        <v>3606</v>
      </c>
    </row>
    <row r="15" spans="1:16" x14ac:dyDescent="0.3">
      <c r="A15" t="s">
        <v>3607</v>
      </c>
      <c r="C15" t="s">
        <v>3576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A2F8-E7FB-4747-AFB9-8E7584A7AC73}">
  <dimension ref="A1:P253"/>
  <sheetViews>
    <sheetView workbookViewId="0">
      <selection activeCell="D10" sqref="D10"/>
    </sheetView>
  </sheetViews>
  <sheetFormatPr defaultColWidth="10.5546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3609</v>
      </c>
      <c r="C2" t="s">
        <v>3610</v>
      </c>
      <c r="D2" t="s">
        <v>404</v>
      </c>
      <c r="E2" t="s">
        <v>19</v>
      </c>
      <c r="F2" t="s">
        <v>1234</v>
      </c>
      <c r="G2" t="s">
        <v>20</v>
      </c>
      <c r="H2">
        <v>2067</v>
      </c>
      <c r="I2">
        <v>0</v>
      </c>
      <c r="J2">
        <v>0</v>
      </c>
      <c r="O2" t="s">
        <v>21</v>
      </c>
      <c r="P2" t="s">
        <v>3611</v>
      </c>
    </row>
    <row r="3" spans="1:16" x14ac:dyDescent="0.3">
      <c r="A3" t="s">
        <v>3612</v>
      </c>
      <c r="B3" s="1" t="s">
        <v>3613</v>
      </c>
      <c r="C3" t="s">
        <v>3610</v>
      </c>
      <c r="D3" t="s">
        <v>29</v>
      </c>
      <c r="E3" t="s">
        <v>1217</v>
      </c>
      <c r="F3" t="s">
        <v>3614</v>
      </c>
      <c r="G3" t="s">
        <v>20</v>
      </c>
      <c r="H3">
        <v>2100</v>
      </c>
      <c r="I3">
        <v>32.25</v>
      </c>
      <c r="J3">
        <v>2067.75</v>
      </c>
      <c r="O3" t="s">
        <v>21</v>
      </c>
      <c r="P3" t="s">
        <v>3615</v>
      </c>
    </row>
    <row r="4" spans="1:16" x14ac:dyDescent="0.3">
      <c r="A4" t="s">
        <v>3616</v>
      </c>
      <c r="C4" t="s">
        <v>3610</v>
      </c>
      <c r="D4" t="s">
        <v>404</v>
      </c>
      <c r="E4" t="s">
        <v>19</v>
      </c>
      <c r="F4" t="s">
        <v>1388</v>
      </c>
      <c r="G4" t="s">
        <v>20</v>
      </c>
      <c r="H4">
        <v>967</v>
      </c>
      <c r="I4">
        <v>0</v>
      </c>
      <c r="J4">
        <v>0</v>
      </c>
      <c r="O4" t="s">
        <v>21</v>
      </c>
      <c r="P4" t="s">
        <v>3617</v>
      </c>
    </row>
    <row r="5" spans="1:16" x14ac:dyDescent="0.3">
      <c r="A5" t="s">
        <v>3618</v>
      </c>
      <c r="B5" s="1" t="s">
        <v>3619</v>
      </c>
      <c r="C5" t="s">
        <v>3610</v>
      </c>
      <c r="D5" t="s">
        <v>29</v>
      </c>
      <c r="E5" t="s">
        <v>1217</v>
      </c>
      <c r="F5" t="s">
        <v>3620</v>
      </c>
      <c r="G5" t="s">
        <v>20</v>
      </c>
      <c r="H5">
        <v>1000</v>
      </c>
      <c r="I5">
        <v>32.25</v>
      </c>
      <c r="J5">
        <v>967.75</v>
      </c>
      <c r="O5" t="s">
        <v>21</v>
      </c>
      <c r="P5" t="s">
        <v>3621</v>
      </c>
    </row>
    <row r="6" spans="1:16" x14ac:dyDescent="0.3">
      <c r="A6" t="s">
        <v>3622</v>
      </c>
      <c r="B6" s="1" t="s">
        <v>3623</v>
      </c>
      <c r="C6" t="s">
        <v>3610</v>
      </c>
      <c r="D6" t="s">
        <v>1203</v>
      </c>
      <c r="E6" t="s">
        <v>19</v>
      </c>
      <c r="G6" t="s">
        <v>20</v>
      </c>
      <c r="H6">
        <v>106000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3624</v>
      </c>
    </row>
    <row r="7" spans="1:16" x14ac:dyDescent="0.3">
      <c r="A7" t="s">
        <v>3625</v>
      </c>
      <c r="C7" t="s">
        <v>3610</v>
      </c>
      <c r="D7" t="s">
        <v>404</v>
      </c>
      <c r="E7" t="s">
        <v>19</v>
      </c>
      <c r="F7" t="s">
        <v>1399</v>
      </c>
      <c r="G7" t="s">
        <v>20</v>
      </c>
      <c r="H7">
        <v>94967</v>
      </c>
      <c r="I7">
        <v>0</v>
      </c>
      <c r="J7">
        <v>0</v>
      </c>
      <c r="O7" t="s">
        <v>21</v>
      </c>
      <c r="P7" t="s">
        <v>3626</v>
      </c>
    </row>
    <row r="8" spans="1:16" x14ac:dyDescent="0.3">
      <c r="A8" t="s">
        <v>3627</v>
      </c>
      <c r="B8" s="1" t="s">
        <v>3628</v>
      </c>
      <c r="C8" t="s">
        <v>3610</v>
      </c>
      <c r="D8" t="s">
        <v>29</v>
      </c>
      <c r="E8" t="s">
        <v>1217</v>
      </c>
      <c r="F8" t="s">
        <v>3629</v>
      </c>
      <c r="G8" t="s">
        <v>20</v>
      </c>
      <c r="H8">
        <v>95000</v>
      </c>
      <c r="I8">
        <v>32.25</v>
      </c>
      <c r="J8">
        <v>94967.75</v>
      </c>
      <c r="O8" t="s">
        <v>21</v>
      </c>
      <c r="P8" t="s">
        <v>3630</v>
      </c>
    </row>
    <row r="9" spans="1:16" x14ac:dyDescent="0.3">
      <c r="A9" t="s">
        <v>3631</v>
      </c>
      <c r="C9" t="s">
        <v>3610</v>
      </c>
      <c r="D9" t="s">
        <v>404</v>
      </c>
      <c r="E9" t="s">
        <v>19</v>
      </c>
      <c r="F9" t="s">
        <v>1435</v>
      </c>
      <c r="G9" t="s">
        <v>20</v>
      </c>
      <c r="H9">
        <v>11934</v>
      </c>
      <c r="I9">
        <v>0</v>
      </c>
      <c r="J9">
        <v>0</v>
      </c>
      <c r="O9" t="s">
        <v>21</v>
      </c>
      <c r="P9" t="s">
        <v>3632</v>
      </c>
    </row>
    <row r="10" spans="1:16" x14ac:dyDescent="0.3">
      <c r="A10" t="s">
        <v>3633</v>
      </c>
      <c r="B10" s="1" t="s">
        <v>3634</v>
      </c>
      <c r="C10" t="s">
        <v>3610</v>
      </c>
      <c r="D10" t="s">
        <v>29</v>
      </c>
      <c r="E10" t="s">
        <v>1217</v>
      </c>
      <c r="F10" t="s">
        <v>3635</v>
      </c>
      <c r="G10" t="s">
        <v>20</v>
      </c>
      <c r="H10">
        <v>9999</v>
      </c>
      <c r="I10">
        <v>32.25</v>
      </c>
      <c r="J10">
        <v>9966.75</v>
      </c>
      <c r="O10" t="s">
        <v>21</v>
      </c>
      <c r="P10" t="s">
        <v>3636</v>
      </c>
    </row>
    <row r="11" spans="1:16" x14ac:dyDescent="0.3">
      <c r="A11" t="s">
        <v>3637</v>
      </c>
      <c r="B11" s="1" t="s">
        <v>3638</v>
      </c>
      <c r="C11" t="s">
        <v>3610</v>
      </c>
      <c r="D11" t="s">
        <v>29</v>
      </c>
      <c r="E11" t="s">
        <v>1217</v>
      </c>
      <c r="F11" t="s">
        <v>3639</v>
      </c>
      <c r="G11" t="s">
        <v>20</v>
      </c>
      <c r="H11">
        <v>2000</v>
      </c>
      <c r="I11">
        <v>32.25</v>
      </c>
      <c r="J11">
        <v>1967.75</v>
      </c>
      <c r="O11" t="s">
        <v>21</v>
      </c>
      <c r="P11" t="s">
        <v>3640</v>
      </c>
    </row>
    <row r="12" spans="1:16" x14ac:dyDescent="0.3">
      <c r="A12" t="s">
        <v>3641</v>
      </c>
      <c r="B12" s="1" t="s">
        <v>3642</v>
      </c>
      <c r="C12" t="s">
        <v>3610</v>
      </c>
      <c r="D12" t="s">
        <v>1203</v>
      </c>
      <c r="E12" t="s">
        <v>19</v>
      </c>
      <c r="G12" t="s">
        <v>20</v>
      </c>
      <c r="H12">
        <v>8150</v>
      </c>
      <c r="I12">
        <v>25</v>
      </c>
      <c r="J12">
        <v>0</v>
      </c>
      <c r="O12" t="s">
        <v>21</v>
      </c>
      <c r="P12" t="s">
        <v>3643</v>
      </c>
    </row>
    <row r="13" spans="1:16" x14ac:dyDescent="0.3">
      <c r="A13" t="s">
        <v>3644</v>
      </c>
      <c r="C13" t="s">
        <v>3610</v>
      </c>
      <c r="D13" t="s">
        <v>404</v>
      </c>
      <c r="E13" t="s">
        <v>19</v>
      </c>
      <c r="F13" t="s">
        <v>2008</v>
      </c>
      <c r="G13" t="s">
        <v>20</v>
      </c>
      <c r="H13">
        <v>5072</v>
      </c>
      <c r="I13">
        <v>0</v>
      </c>
      <c r="J13">
        <v>0</v>
      </c>
      <c r="O13" t="s">
        <v>21</v>
      </c>
      <c r="P13" t="s">
        <v>3645</v>
      </c>
    </row>
    <row r="14" spans="1:16" x14ac:dyDescent="0.3">
      <c r="A14" t="s">
        <v>3646</v>
      </c>
      <c r="C14" t="s">
        <v>3610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3647</v>
      </c>
    </row>
    <row r="15" spans="1:16" x14ac:dyDescent="0.3">
      <c r="A15" t="s">
        <v>3648</v>
      </c>
      <c r="C15" t="s">
        <v>3610</v>
      </c>
      <c r="D15" t="s">
        <v>404</v>
      </c>
      <c r="E15" t="s">
        <v>19</v>
      </c>
      <c r="F15" t="s">
        <v>774</v>
      </c>
      <c r="G15" t="s">
        <v>20</v>
      </c>
      <c r="H15">
        <v>3083</v>
      </c>
      <c r="I15">
        <v>0</v>
      </c>
      <c r="J15">
        <v>0</v>
      </c>
      <c r="O15" t="s">
        <v>21</v>
      </c>
      <c r="P15" t="s">
        <v>3649</v>
      </c>
    </row>
    <row r="16" spans="1:16" x14ac:dyDescent="0.3">
      <c r="A16" t="s">
        <v>3650</v>
      </c>
      <c r="C16" t="s">
        <v>3610</v>
      </c>
      <c r="D16" t="s">
        <v>408</v>
      </c>
      <c r="E16" t="s">
        <v>409</v>
      </c>
      <c r="G16" t="s">
        <v>20</v>
      </c>
      <c r="H16">
        <v>3100</v>
      </c>
      <c r="I16">
        <v>16.662500000000001</v>
      </c>
      <c r="J16">
        <v>3083.3375000000001</v>
      </c>
      <c r="O16" t="s">
        <v>21</v>
      </c>
      <c r="P16" t="s">
        <v>3651</v>
      </c>
    </row>
    <row r="17" spans="1:16" x14ac:dyDescent="0.3">
      <c r="A17" t="s">
        <v>3652</v>
      </c>
      <c r="B17" s="1" t="s">
        <v>3653</v>
      </c>
      <c r="C17" t="s">
        <v>3610</v>
      </c>
      <c r="D17" t="s">
        <v>1203</v>
      </c>
      <c r="E17" t="s">
        <v>19</v>
      </c>
      <c r="G17" t="s">
        <v>20</v>
      </c>
      <c r="H17">
        <v>18650</v>
      </c>
      <c r="I17">
        <v>25</v>
      </c>
      <c r="J17">
        <v>0</v>
      </c>
      <c r="O17" t="s">
        <v>21</v>
      </c>
      <c r="P17" t="s">
        <v>3654</v>
      </c>
    </row>
    <row r="18" spans="1:16" x14ac:dyDescent="0.3">
      <c r="A18" t="s">
        <v>3655</v>
      </c>
      <c r="C18" t="s">
        <v>3610</v>
      </c>
      <c r="D18" t="s">
        <v>404</v>
      </c>
      <c r="E18" t="s">
        <v>19</v>
      </c>
      <c r="F18" t="s">
        <v>822</v>
      </c>
      <c r="G18" t="s">
        <v>20</v>
      </c>
      <c r="H18">
        <v>6564</v>
      </c>
      <c r="I18">
        <v>0</v>
      </c>
      <c r="J18">
        <v>0</v>
      </c>
      <c r="O18" t="s">
        <v>21</v>
      </c>
      <c r="P18" t="s">
        <v>3656</v>
      </c>
    </row>
    <row r="19" spans="1:16" x14ac:dyDescent="0.3">
      <c r="A19" t="s">
        <v>3657</v>
      </c>
      <c r="C19" t="s">
        <v>3610</v>
      </c>
      <c r="D19" t="s">
        <v>408</v>
      </c>
      <c r="E19" t="s">
        <v>409</v>
      </c>
      <c r="G19" t="s">
        <v>20</v>
      </c>
      <c r="H19">
        <v>6600</v>
      </c>
      <c r="I19">
        <v>35.475000000000001</v>
      </c>
      <c r="J19">
        <v>6564.5249999999996</v>
      </c>
      <c r="O19" t="s">
        <v>21</v>
      </c>
      <c r="P19" t="s">
        <v>3658</v>
      </c>
    </row>
    <row r="20" spans="1:16" x14ac:dyDescent="0.3">
      <c r="A20" t="s">
        <v>3659</v>
      </c>
      <c r="C20" t="s">
        <v>3610</v>
      </c>
      <c r="D20" t="s">
        <v>404</v>
      </c>
      <c r="E20" t="s">
        <v>19</v>
      </c>
      <c r="F20" t="s">
        <v>833</v>
      </c>
      <c r="G20" t="s">
        <v>20</v>
      </c>
      <c r="H20">
        <v>12134</v>
      </c>
      <c r="I20">
        <v>0</v>
      </c>
      <c r="J20">
        <v>0</v>
      </c>
      <c r="O20" t="s">
        <v>21</v>
      </c>
      <c r="P20" t="s">
        <v>3660</v>
      </c>
    </row>
    <row r="21" spans="1:16" x14ac:dyDescent="0.3">
      <c r="A21" t="s">
        <v>3661</v>
      </c>
      <c r="C21" t="s">
        <v>3610</v>
      </c>
      <c r="D21" t="s">
        <v>29</v>
      </c>
      <c r="E21" t="s">
        <v>409</v>
      </c>
      <c r="G21" t="s">
        <v>20</v>
      </c>
      <c r="H21">
        <v>12200</v>
      </c>
      <c r="I21">
        <v>65.575000000000003</v>
      </c>
      <c r="J21">
        <v>12134.424999999999</v>
      </c>
      <c r="O21" t="s">
        <v>21</v>
      </c>
      <c r="P21" t="s">
        <v>3662</v>
      </c>
    </row>
    <row r="22" spans="1:16" x14ac:dyDescent="0.3">
      <c r="A22" t="s">
        <v>3663</v>
      </c>
      <c r="B22" s="1" t="s">
        <v>3664</v>
      </c>
      <c r="C22" t="s">
        <v>3610</v>
      </c>
      <c r="D22" t="s">
        <v>1203</v>
      </c>
      <c r="E22" t="s">
        <v>19</v>
      </c>
      <c r="G22" t="s">
        <v>20</v>
      </c>
      <c r="H22">
        <v>7150</v>
      </c>
      <c r="I22">
        <v>25</v>
      </c>
      <c r="J22">
        <v>0</v>
      </c>
      <c r="O22" t="s">
        <v>21</v>
      </c>
      <c r="P22" t="s">
        <v>3665</v>
      </c>
    </row>
    <row r="23" spans="1:16" x14ac:dyDescent="0.3">
      <c r="A23" t="s">
        <v>3666</v>
      </c>
      <c r="C23" t="s">
        <v>3610</v>
      </c>
      <c r="D23" t="s">
        <v>404</v>
      </c>
      <c r="E23" t="s">
        <v>19</v>
      </c>
      <c r="F23" t="s">
        <v>845</v>
      </c>
      <c r="G23" t="s">
        <v>20</v>
      </c>
      <c r="H23">
        <v>7161</v>
      </c>
      <c r="I23">
        <v>0</v>
      </c>
      <c r="J23">
        <v>0</v>
      </c>
      <c r="O23" t="s">
        <v>21</v>
      </c>
      <c r="P23" t="s">
        <v>3667</v>
      </c>
    </row>
    <row r="24" spans="1:16" x14ac:dyDescent="0.3">
      <c r="A24" t="s">
        <v>3668</v>
      </c>
      <c r="C24" t="s">
        <v>3610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3669</v>
      </c>
    </row>
    <row r="25" spans="1:16" x14ac:dyDescent="0.3">
      <c r="A25" t="s">
        <v>3670</v>
      </c>
      <c r="C25" t="s">
        <v>3610</v>
      </c>
      <c r="D25" t="s">
        <v>29</v>
      </c>
      <c r="E25" t="s">
        <v>409</v>
      </c>
      <c r="G25" t="s">
        <v>20</v>
      </c>
      <c r="H25">
        <v>2100</v>
      </c>
      <c r="I25">
        <v>11.2875</v>
      </c>
      <c r="J25">
        <v>2088.7125000000001</v>
      </c>
      <c r="O25" t="s">
        <v>21</v>
      </c>
      <c r="P25" t="s">
        <v>3671</v>
      </c>
    </row>
    <row r="26" spans="1:16" x14ac:dyDescent="0.3">
      <c r="A26" t="s">
        <v>3672</v>
      </c>
      <c r="B26" s="1" t="s">
        <v>3673</v>
      </c>
      <c r="C26" t="s">
        <v>3610</v>
      </c>
      <c r="D26" t="s">
        <v>1203</v>
      </c>
      <c r="E26" t="s">
        <v>19</v>
      </c>
      <c r="G26" t="s">
        <v>20</v>
      </c>
      <c r="H26">
        <v>10000</v>
      </c>
      <c r="I26">
        <v>25</v>
      </c>
      <c r="J26">
        <v>0</v>
      </c>
      <c r="O26" t="s">
        <v>21</v>
      </c>
      <c r="P26" t="s">
        <v>3674</v>
      </c>
    </row>
    <row r="27" spans="1:16" x14ac:dyDescent="0.3">
      <c r="A27" t="s">
        <v>3675</v>
      </c>
      <c r="C27" t="s">
        <v>3610</v>
      </c>
      <c r="D27" t="s">
        <v>404</v>
      </c>
      <c r="E27" t="s">
        <v>19</v>
      </c>
      <c r="F27" t="s">
        <v>892</v>
      </c>
      <c r="G27" t="s">
        <v>20</v>
      </c>
      <c r="H27">
        <v>5072</v>
      </c>
      <c r="I27">
        <v>0</v>
      </c>
      <c r="J27">
        <v>0</v>
      </c>
      <c r="O27" t="s">
        <v>21</v>
      </c>
      <c r="P27" t="s">
        <v>3676</v>
      </c>
    </row>
    <row r="28" spans="1:16" x14ac:dyDescent="0.3">
      <c r="A28" t="s">
        <v>3677</v>
      </c>
      <c r="C28" t="s">
        <v>3610</v>
      </c>
      <c r="D28" t="s">
        <v>408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412</v>
      </c>
      <c r="P28" t="s">
        <v>3678</v>
      </c>
    </row>
    <row r="29" spans="1:16" x14ac:dyDescent="0.3">
      <c r="A29" t="s">
        <v>3679</v>
      </c>
      <c r="C29" t="s">
        <v>3610</v>
      </c>
      <c r="D29" t="s">
        <v>29</v>
      </c>
      <c r="E29" t="s">
        <v>409</v>
      </c>
      <c r="G29" t="s">
        <v>20</v>
      </c>
      <c r="H29">
        <v>5100</v>
      </c>
      <c r="I29">
        <v>27.412500000000001</v>
      </c>
      <c r="J29">
        <v>5072.5874999999996</v>
      </c>
      <c r="O29" t="s">
        <v>21</v>
      </c>
      <c r="P29" t="s">
        <v>3680</v>
      </c>
    </row>
    <row r="30" spans="1:16" x14ac:dyDescent="0.3">
      <c r="A30" t="s">
        <v>3681</v>
      </c>
      <c r="C30" t="s">
        <v>3610</v>
      </c>
      <c r="D30" t="s">
        <v>404</v>
      </c>
      <c r="E30" t="s">
        <v>19</v>
      </c>
      <c r="F30" t="s">
        <v>903</v>
      </c>
      <c r="G30" t="s">
        <v>20</v>
      </c>
      <c r="H30">
        <v>4973</v>
      </c>
      <c r="I30">
        <v>0</v>
      </c>
      <c r="J30">
        <v>0</v>
      </c>
      <c r="O30" t="s">
        <v>21</v>
      </c>
      <c r="P30" t="s">
        <v>3682</v>
      </c>
    </row>
    <row r="31" spans="1:16" x14ac:dyDescent="0.3">
      <c r="A31" t="s">
        <v>3683</v>
      </c>
      <c r="C31" t="s">
        <v>3610</v>
      </c>
      <c r="D31" t="s">
        <v>29</v>
      </c>
      <c r="E31" t="s">
        <v>409</v>
      </c>
      <c r="G31" t="s">
        <v>20</v>
      </c>
      <c r="H31">
        <v>4000</v>
      </c>
      <c r="I31">
        <v>21.5</v>
      </c>
      <c r="J31">
        <v>3978.5</v>
      </c>
      <c r="O31" t="s">
        <v>21</v>
      </c>
      <c r="P31" t="s">
        <v>3684</v>
      </c>
    </row>
    <row r="32" spans="1:16" x14ac:dyDescent="0.3">
      <c r="A32" t="s">
        <v>3685</v>
      </c>
      <c r="C32" t="s">
        <v>3610</v>
      </c>
      <c r="D32" t="s">
        <v>29</v>
      </c>
      <c r="E32" t="s">
        <v>409</v>
      </c>
      <c r="G32" t="s">
        <v>20</v>
      </c>
      <c r="H32">
        <v>1000</v>
      </c>
      <c r="I32">
        <v>5.375</v>
      </c>
      <c r="J32">
        <v>994.625</v>
      </c>
      <c r="O32" t="s">
        <v>21</v>
      </c>
      <c r="P32" t="s">
        <v>3686</v>
      </c>
    </row>
    <row r="33" spans="1:16" x14ac:dyDescent="0.3">
      <c r="A33" t="s">
        <v>3687</v>
      </c>
      <c r="C33" t="s">
        <v>3610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3688</v>
      </c>
    </row>
    <row r="34" spans="1:16" x14ac:dyDescent="0.3">
      <c r="A34" t="s">
        <v>3689</v>
      </c>
      <c r="C34" t="s">
        <v>3610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412</v>
      </c>
      <c r="P34" t="s">
        <v>3690</v>
      </c>
    </row>
    <row r="35" spans="1:16" x14ac:dyDescent="0.3">
      <c r="A35" t="s">
        <v>3691</v>
      </c>
      <c r="C35" t="s">
        <v>3610</v>
      </c>
      <c r="D35" t="s">
        <v>408</v>
      </c>
      <c r="E35" t="s">
        <v>409</v>
      </c>
      <c r="G35" t="s">
        <v>20</v>
      </c>
      <c r="H35">
        <v>1000</v>
      </c>
      <c r="I35">
        <v>5.375</v>
      </c>
      <c r="J35">
        <v>994.625</v>
      </c>
      <c r="O35" t="s">
        <v>412</v>
      </c>
      <c r="P35" t="s">
        <v>3692</v>
      </c>
    </row>
    <row r="36" spans="1:16" x14ac:dyDescent="0.3">
      <c r="A36" t="s">
        <v>3693</v>
      </c>
      <c r="C36" t="s">
        <v>3610</v>
      </c>
      <c r="D36" t="s">
        <v>408</v>
      </c>
      <c r="E36" t="s">
        <v>409</v>
      </c>
      <c r="G36" t="s">
        <v>20</v>
      </c>
      <c r="H36">
        <v>1000</v>
      </c>
      <c r="I36">
        <v>5.375</v>
      </c>
      <c r="J36">
        <v>994.625</v>
      </c>
      <c r="O36" t="s">
        <v>412</v>
      </c>
      <c r="P36" t="s">
        <v>3694</v>
      </c>
    </row>
    <row r="37" spans="1:16" x14ac:dyDescent="0.3">
      <c r="A37" t="s">
        <v>3695</v>
      </c>
      <c r="B37" s="1" t="s">
        <v>3696</v>
      </c>
      <c r="C37" t="s">
        <v>3610</v>
      </c>
      <c r="D37" t="s">
        <v>1203</v>
      </c>
      <c r="E37" t="s">
        <v>19</v>
      </c>
      <c r="G37" t="s">
        <v>20</v>
      </c>
      <c r="H37">
        <v>28550</v>
      </c>
      <c r="I37">
        <v>25</v>
      </c>
      <c r="J37">
        <v>0</v>
      </c>
      <c r="O37" t="s">
        <v>21</v>
      </c>
      <c r="P37" t="s">
        <v>3697</v>
      </c>
    </row>
    <row r="38" spans="1:16" x14ac:dyDescent="0.3">
      <c r="A38" t="s">
        <v>3698</v>
      </c>
      <c r="C38" t="s">
        <v>3610</v>
      </c>
      <c r="D38" t="s">
        <v>404</v>
      </c>
      <c r="E38" t="s">
        <v>19</v>
      </c>
      <c r="F38" t="s">
        <v>920</v>
      </c>
      <c r="G38" t="s">
        <v>20</v>
      </c>
      <c r="H38">
        <v>10145</v>
      </c>
      <c r="I38">
        <v>0</v>
      </c>
      <c r="J38">
        <v>0</v>
      </c>
      <c r="O38" t="s">
        <v>21</v>
      </c>
      <c r="P38" t="s">
        <v>3699</v>
      </c>
    </row>
    <row r="39" spans="1:16" x14ac:dyDescent="0.3">
      <c r="A39" t="s">
        <v>3700</v>
      </c>
      <c r="C39" t="s">
        <v>3610</v>
      </c>
      <c r="D39" t="s">
        <v>29</v>
      </c>
      <c r="E39" t="s">
        <v>409</v>
      </c>
      <c r="G39" t="s">
        <v>20</v>
      </c>
      <c r="H39">
        <v>10200</v>
      </c>
      <c r="I39">
        <v>54.825000000000003</v>
      </c>
      <c r="J39">
        <v>10145.174999999999</v>
      </c>
      <c r="O39" t="s">
        <v>21</v>
      </c>
      <c r="P39" t="s">
        <v>3701</v>
      </c>
    </row>
    <row r="40" spans="1:16" x14ac:dyDescent="0.3">
      <c r="A40" t="s">
        <v>3702</v>
      </c>
      <c r="C40" t="s">
        <v>3610</v>
      </c>
      <c r="D40" t="s">
        <v>404</v>
      </c>
      <c r="E40" t="s">
        <v>19</v>
      </c>
      <c r="F40" t="s">
        <v>931</v>
      </c>
      <c r="G40" t="s">
        <v>20</v>
      </c>
      <c r="H40">
        <v>3978</v>
      </c>
      <c r="I40">
        <v>0</v>
      </c>
      <c r="J40">
        <v>0</v>
      </c>
      <c r="O40" t="s">
        <v>21</v>
      </c>
      <c r="P40" t="s">
        <v>3703</v>
      </c>
    </row>
    <row r="41" spans="1:16" x14ac:dyDescent="0.3">
      <c r="A41" t="s">
        <v>3704</v>
      </c>
      <c r="C41" t="s">
        <v>3610</v>
      </c>
      <c r="D41" t="s">
        <v>29</v>
      </c>
      <c r="E41" t="s">
        <v>409</v>
      </c>
      <c r="G41" t="s">
        <v>20</v>
      </c>
      <c r="H41">
        <v>1000</v>
      </c>
      <c r="I41">
        <v>5.375</v>
      </c>
      <c r="J41">
        <v>994.625</v>
      </c>
      <c r="O41" t="s">
        <v>21</v>
      </c>
      <c r="P41" t="s">
        <v>3705</v>
      </c>
    </row>
    <row r="42" spans="1:16" x14ac:dyDescent="0.3">
      <c r="A42" t="s">
        <v>3706</v>
      </c>
      <c r="C42" t="s">
        <v>3610</v>
      </c>
      <c r="D42" t="s">
        <v>408</v>
      </c>
      <c r="E42" t="s">
        <v>409</v>
      </c>
      <c r="G42" t="s">
        <v>20</v>
      </c>
      <c r="H42">
        <v>1000</v>
      </c>
      <c r="I42">
        <v>5.375</v>
      </c>
      <c r="J42">
        <v>994.625</v>
      </c>
      <c r="O42" t="s">
        <v>412</v>
      </c>
      <c r="P42" t="s">
        <v>3707</v>
      </c>
    </row>
    <row r="43" spans="1:16" x14ac:dyDescent="0.3">
      <c r="A43" t="s">
        <v>3708</v>
      </c>
      <c r="C43" t="s">
        <v>3610</v>
      </c>
      <c r="D43" t="s">
        <v>408</v>
      </c>
      <c r="E43" t="s">
        <v>409</v>
      </c>
      <c r="G43" t="s">
        <v>20</v>
      </c>
      <c r="H43">
        <v>1000</v>
      </c>
      <c r="I43">
        <v>5.375</v>
      </c>
      <c r="J43">
        <v>994.625</v>
      </c>
      <c r="O43" t="s">
        <v>412</v>
      </c>
      <c r="P43" t="s">
        <v>3709</v>
      </c>
    </row>
    <row r="44" spans="1:16" x14ac:dyDescent="0.3">
      <c r="A44" t="s">
        <v>3710</v>
      </c>
      <c r="C44" t="s">
        <v>3610</v>
      </c>
      <c r="D44" t="s">
        <v>408</v>
      </c>
      <c r="E44" t="s">
        <v>409</v>
      </c>
      <c r="G44" t="s">
        <v>20</v>
      </c>
      <c r="H44">
        <v>1000</v>
      </c>
      <c r="I44">
        <v>5.375</v>
      </c>
      <c r="J44">
        <v>994.625</v>
      </c>
      <c r="O44" t="s">
        <v>412</v>
      </c>
      <c r="P44" t="s">
        <v>3711</v>
      </c>
    </row>
    <row r="45" spans="1:16" x14ac:dyDescent="0.3">
      <c r="A45" t="s">
        <v>3712</v>
      </c>
      <c r="C45" t="s">
        <v>3610</v>
      </c>
      <c r="D45" t="s">
        <v>29</v>
      </c>
      <c r="E45" t="s">
        <v>409</v>
      </c>
      <c r="G45" t="s">
        <v>20</v>
      </c>
      <c r="H45">
        <v>3000</v>
      </c>
      <c r="I45" s="1" t="s">
        <v>1393</v>
      </c>
      <c r="J45">
        <v>2983.875</v>
      </c>
      <c r="O45" t="s">
        <v>21</v>
      </c>
      <c r="P45" t="s">
        <v>3713</v>
      </c>
    </row>
    <row r="46" spans="1:16" x14ac:dyDescent="0.3">
      <c r="A46" t="s">
        <v>3714</v>
      </c>
      <c r="C46" t="s">
        <v>3610</v>
      </c>
      <c r="D46" t="s">
        <v>404</v>
      </c>
      <c r="E46" t="s">
        <v>19</v>
      </c>
      <c r="F46" t="s">
        <v>942</v>
      </c>
      <c r="G46" t="s">
        <v>20</v>
      </c>
      <c r="H46">
        <v>14422</v>
      </c>
      <c r="I46">
        <v>0</v>
      </c>
      <c r="J46">
        <v>0</v>
      </c>
      <c r="O46" t="s">
        <v>21</v>
      </c>
      <c r="P46" t="s">
        <v>3715</v>
      </c>
    </row>
    <row r="47" spans="1:16" x14ac:dyDescent="0.3">
      <c r="A47" t="s">
        <v>3716</v>
      </c>
      <c r="C47" t="s">
        <v>3610</v>
      </c>
      <c r="D47" t="s">
        <v>29</v>
      </c>
      <c r="E47" t="s">
        <v>409</v>
      </c>
      <c r="G47" t="s">
        <v>20</v>
      </c>
      <c r="H47">
        <v>9900</v>
      </c>
      <c r="I47">
        <v>53.212499999999999</v>
      </c>
      <c r="J47">
        <v>9846.7875000000004</v>
      </c>
      <c r="O47" t="s">
        <v>21</v>
      </c>
      <c r="P47" t="s">
        <v>3717</v>
      </c>
    </row>
    <row r="48" spans="1:16" x14ac:dyDescent="0.3">
      <c r="A48" t="s">
        <v>3718</v>
      </c>
      <c r="C48" t="s">
        <v>3610</v>
      </c>
      <c r="D48" t="s">
        <v>408</v>
      </c>
      <c r="E48" t="s">
        <v>409</v>
      </c>
      <c r="G48" t="s">
        <v>20</v>
      </c>
      <c r="H48">
        <v>10000</v>
      </c>
      <c r="I48" s="1" t="s">
        <v>1432</v>
      </c>
      <c r="J48">
        <v>9946.25</v>
      </c>
      <c r="O48" t="s">
        <v>412</v>
      </c>
      <c r="P48" t="s">
        <v>3719</v>
      </c>
    </row>
    <row r="49" spans="1:16" x14ac:dyDescent="0.3">
      <c r="A49" t="s">
        <v>3720</v>
      </c>
      <c r="C49" t="s">
        <v>3610</v>
      </c>
      <c r="D49" t="s">
        <v>29</v>
      </c>
      <c r="E49" t="s">
        <v>409</v>
      </c>
      <c r="G49" t="s">
        <v>20</v>
      </c>
      <c r="H49">
        <v>4600</v>
      </c>
      <c r="I49">
        <v>24.725000000000001</v>
      </c>
      <c r="J49">
        <v>4575.2749999999996</v>
      </c>
      <c r="O49" t="s">
        <v>21</v>
      </c>
      <c r="P49" t="s">
        <v>3721</v>
      </c>
    </row>
    <row r="50" spans="1:16" x14ac:dyDescent="0.3">
      <c r="A50" t="s">
        <v>3722</v>
      </c>
      <c r="B50" s="1" t="s">
        <v>3723</v>
      </c>
      <c r="C50" t="s">
        <v>3610</v>
      </c>
      <c r="D50" t="s">
        <v>1203</v>
      </c>
      <c r="E50" t="s">
        <v>19</v>
      </c>
      <c r="G50" t="s">
        <v>20</v>
      </c>
      <c r="H50">
        <v>5900</v>
      </c>
      <c r="I50">
        <v>25</v>
      </c>
      <c r="J50">
        <v>0</v>
      </c>
      <c r="O50" t="s">
        <v>21</v>
      </c>
      <c r="P50" t="s">
        <v>3724</v>
      </c>
    </row>
    <row r="51" spans="1:16" x14ac:dyDescent="0.3">
      <c r="A51" t="s">
        <v>3725</v>
      </c>
      <c r="C51" t="s">
        <v>3610</v>
      </c>
      <c r="D51" t="s">
        <v>404</v>
      </c>
      <c r="E51" t="s">
        <v>19</v>
      </c>
      <c r="F51" t="s">
        <v>968</v>
      </c>
      <c r="G51" t="s">
        <v>20</v>
      </c>
      <c r="H51">
        <v>5470</v>
      </c>
      <c r="I51">
        <v>0</v>
      </c>
      <c r="J51">
        <v>0</v>
      </c>
      <c r="O51" t="s">
        <v>21</v>
      </c>
      <c r="P51" t="s">
        <v>3726</v>
      </c>
    </row>
    <row r="52" spans="1:16" x14ac:dyDescent="0.3">
      <c r="A52" t="s">
        <v>3727</v>
      </c>
      <c r="C52" t="s">
        <v>3610</v>
      </c>
      <c r="D52" t="s">
        <v>408</v>
      </c>
      <c r="E52" t="s">
        <v>409</v>
      </c>
      <c r="G52" t="s">
        <v>20</v>
      </c>
      <c r="H52">
        <v>12000</v>
      </c>
      <c r="I52" s="1" t="s">
        <v>1607</v>
      </c>
      <c r="J52">
        <v>11935.5</v>
      </c>
      <c r="O52" t="s">
        <v>412</v>
      </c>
      <c r="P52" t="s">
        <v>3728</v>
      </c>
    </row>
    <row r="53" spans="1:16" x14ac:dyDescent="0.3">
      <c r="A53" t="s">
        <v>3729</v>
      </c>
      <c r="C53" t="s">
        <v>3610</v>
      </c>
      <c r="D53" t="s">
        <v>408</v>
      </c>
      <c r="E53" t="s">
        <v>409</v>
      </c>
      <c r="G53" t="s">
        <v>20</v>
      </c>
      <c r="H53">
        <v>2000</v>
      </c>
      <c r="I53">
        <v>10.75</v>
      </c>
      <c r="J53">
        <v>1989.25</v>
      </c>
      <c r="O53" t="s">
        <v>412</v>
      </c>
      <c r="P53" t="s">
        <v>3730</v>
      </c>
    </row>
    <row r="54" spans="1:16" x14ac:dyDescent="0.3">
      <c r="A54" t="s">
        <v>3731</v>
      </c>
      <c r="C54" t="s">
        <v>3610</v>
      </c>
      <c r="D54" t="s">
        <v>29</v>
      </c>
      <c r="E54" t="s">
        <v>409</v>
      </c>
      <c r="G54" t="s">
        <v>20</v>
      </c>
      <c r="H54">
        <v>1000</v>
      </c>
      <c r="I54">
        <v>5.375</v>
      </c>
      <c r="J54">
        <v>994.625</v>
      </c>
      <c r="O54" t="s">
        <v>21</v>
      </c>
      <c r="P54" t="s">
        <v>3732</v>
      </c>
    </row>
    <row r="55" spans="1:16" x14ac:dyDescent="0.3">
      <c r="A55" t="s">
        <v>3733</v>
      </c>
      <c r="B55" s="1" t="s">
        <v>3734</v>
      </c>
      <c r="C55" t="s">
        <v>3610</v>
      </c>
      <c r="D55" t="s">
        <v>1203</v>
      </c>
      <c r="E55" t="s">
        <v>19</v>
      </c>
      <c r="G55" t="s">
        <v>20</v>
      </c>
      <c r="H55">
        <v>17500</v>
      </c>
      <c r="I55">
        <v>25</v>
      </c>
      <c r="J55">
        <v>0</v>
      </c>
      <c r="O55" t="s">
        <v>21</v>
      </c>
      <c r="P55" t="s">
        <v>3735</v>
      </c>
    </row>
    <row r="56" spans="1:16" x14ac:dyDescent="0.3">
      <c r="A56" t="s">
        <v>3736</v>
      </c>
      <c r="C56" t="s">
        <v>3610</v>
      </c>
      <c r="D56" t="s">
        <v>29</v>
      </c>
      <c r="E56" t="s">
        <v>409</v>
      </c>
      <c r="G56" t="s">
        <v>20</v>
      </c>
      <c r="H56">
        <v>1500</v>
      </c>
      <c r="I56" s="1" t="s">
        <v>1717</v>
      </c>
      <c r="J56">
        <v>1491.9375</v>
      </c>
      <c r="O56" t="s">
        <v>21</v>
      </c>
      <c r="P56" t="s">
        <v>3737</v>
      </c>
    </row>
    <row r="57" spans="1:16" x14ac:dyDescent="0.3">
      <c r="A57" t="s">
        <v>3738</v>
      </c>
      <c r="C57" t="s">
        <v>3610</v>
      </c>
      <c r="D57" t="s">
        <v>29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3739</v>
      </c>
    </row>
    <row r="58" spans="1:16" x14ac:dyDescent="0.3">
      <c r="A58" t="s">
        <v>3740</v>
      </c>
      <c r="C58" t="s">
        <v>3610</v>
      </c>
      <c r="D58" t="s">
        <v>404</v>
      </c>
      <c r="E58" t="s">
        <v>19</v>
      </c>
      <c r="F58" t="s">
        <v>981</v>
      </c>
      <c r="G58" t="s">
        <v>20</v>
      </c>
      <c r="H58">
        <v>1989</v>
      </c>
      <c r="I58">
        <v>0</v>
      </c>
      <c r="J58">
        <v>0</v>
      </c>
      <c r="O58" t="s">
        <v>21</v>
      </c>
      <c r="P58" t="s">
        <v>3741</v>
      </c>
    </row>
    <row r="59" spans="1:16" x14ac:dyDescent="0.3">
      <c r="A59" t="s">
        <v>3742</v>
      </c>
      <c r="C59" t="s">
        <v>3610</v>
      </c>
      <c r="D59" t="s">
        <v>29</v>
      </c>
      <c r="E59" t="s">
        <v>409</v>
      </c>
      <c r="G59" t="s">
        <v>20</v>
      </c>
      <c r="H59">
        <v>2000</v>
      </c>
      <c r="I59">
        <v>10.75</v>
      </c>
      <c r="J59">
        <v>1989.25</v>
      </c>
      <c r="O59" t="s">
        <v>21</v>
      </c>
      <c r="P59" t="s">
        <v>3743</v>
      </c>
    </row>
    <row r="60" spans="1:16" x14ac:dyDescent="0.3">
      <c r="A60" t="s">
        <v>3744</v>
      </c>
      <c r="C60" t="s">
        <v>3610</v>
      </c>
      <c r="D60" t="s">
        <v>404</v>
      </c>
      <c r="E60" t="s">
        <v>19</v>
      </c>
      <c r="F60" t="s">
        <v>2164</v>
      </c>
      <c r="G60" t="s">
        <v>20</v>
      </c>
      <c r="H60">
        <v>8454</v>
      </c>
      <c r="I60">
        <v>0</v>
      </c>
      <c r="J60">
        <v>0</v>
      </c>
      <c r="O60" t="s">
        <v>21</v>
      </c>
      <c r="P60" t="s">
        <v>3745</v>
      </c>
    </row>
    <row r="61" spans="1:16" x14ac:dyDescent="0.3">
      <c r="A61" t="e">
        <f>-uU7AhpGkKLzQYY5eN90q</f>
        <v>#NAME?</v>
      </c>
      <c r="C61" t="s">
        <v>3610</v>
      </c>
      <c r="D61" t="s">
        <v>29</v>
      </c>
      <c r="E61" t="s">
        <v>409</v>
      </c>
      <c r="G61" t="s">
        <v>20</v>
      </c>
      <c r="H61">
        <v>8500</v>
      </c>
      <c r="I61">
        <v>45.6875</v>
      </c>
      <c r="J61">
        <v>8454.3125</v>
      </c>
      <c r="O61" t="s">
        <v>21</v>
      </c>
      <c r="P61" t="s">
        <v>3746</v>
      </c>
    </row>
    <row r="62" spans="1:16" x14ac:dyDescent="0.3">
      <c r="A62" t="s">
        <v>3747</v>
      </c>
      <c r="C62" t="s">
        <v>3610</v>
      </c>
      <c r="D62" t="s">
        <v>404</v>
      </c>
      <c r="E62" t="s">
        <v>19</v>
      </c>
      <c r="F62" t="s">
        <v>2215</v>
      </c>
      <c r="G62" t="s">
        <v>20</v>
      </c>
      <c r="H62">
        <v>6564</v>
      </c>
      <c r="I62">
        <v>0</v>
      </c>
      <c r="J62">
        <v>0</v>
      </c>
      <c r="O62" t="s">
        <v>21</v>
      </c>
      <c r="P62" t="s">
        <v>3748</v>
      </c>
    </row>
    <row r="63" spans="1:16" x14ac:dyDescent="0.3">
      <c r="A63" t="s">
        <v>3749</v>
      </c>
      <c r="C63" t="s">
        <v>3610</v>
      </c>
      <c r="D63" t="s">
        <v>29</v>
      </c>
      <c r="E63" t="s">
        <v>409</v>
      </c>
      <c r="G63" t="s">
        <v>20</v>
      </c>
      <c r="H63">
        <v>5000</v>
      </c>
      <c r="I63" s="1" t="s">
        <v>1275</v>
      </c>
      <c r="J63">
        <v>4973.125</v>
      </c>
      <c r="O63" t="s">
        <v>21</v>
      </c>
      <c r="P63" t="s">
        <v>3750</v>
      </c>
    </row>
    <row r="64" spans="1:16" x14ac:dyDescent="0.3">
      <c r="A64" t="s">
        <v>3751</v>
      </c>
      <c r="C64" t="s">
        <v>3610</v>
      </c>
      <c r="D64" t="s">
        <v>29</v>
      </c>
      <c r="E64" t="s">
        <v>409</v>
      </c>
      <c r="G64" t="s">
        <v>20</v>
      </c>
      <c r="H64">
        <v>1600</v>
      </c>
      <c r="I64">
        <v>8.6</v>
      </c>
      <c r="J64">
        <v>1591.4</v>
      </c>
      <c r="O64" t="s">
        <v>21</v>
      </c>
      <c r="P64" t="s">
        <v>3752</v>
      </c>
    </row>
    <row r="65" spans="1:16" x14ac:dyDescent="0.3">
      <c r="A65" t="s">
        <v>3753</v>
      </c>
      <c r="C65" t="s">
        <v>3610</v>
      </c>
      <c r="D65" t="s">
        <v>404</v>
      </c>
      <c r="E65" t="s">
        <v>19</v>
      </c>
      <c r="F65" t="s">
        <v>1003</v>
      </c>
      <c r="G65" t="s">
        <v>20</v>
      </c>
      <c r="H65">
        <v>994</v>
      </c>
      <c r="I65">
        <v>0</v>
      </c>
      <c r="J65">
        <v>0</v>
      </c>
      <c r="O65" t="s">
        <v>21</v>
      </c>
      <c r="P65" t="s">
        <v>3754</v>
      </c>
    </row>
    <row r="66" spans="1:16" x14ac:dyDescent="0.3">
      <c r="A66" t="s">
        <v>3755</v>
      </c>
      <c r="C66" t="s">
        <v>3610</v>
      </c>
      <c r="D66" t="s">
        <v>29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3756</v>
      </c>
    </row>
    <row r="67" spans="1:16" x14ac:dyDescent="0.3">
      <c r="A67" t="s">
        <v>3757</v>
      </c>
      <c r="B67" s="1" t="s">
        <v>3758</v>
      </c>
      <c r="C67" t="s">
        <v>3610</v>
      </c>
      <c r="D67" t="s">
        <v>1203</v>
      </c>
      <c r="E67" t="s">
        <v>19</v>
      </c>
      <c r="G67" t="s">
        <v>20</v>
      </c>
      <c r="H67">
        <v>23100</v>
      </c>
      <c r="I67">
        <v>25</v>
      </c>
      <c r="J67">
        <v>0</v>
      </c>
      <c r="O67" t="s">
        <v>21</v>
      </c>
      <c r="P67" t="s">
        <v>3759</v>
      </c>
    </row>
    <row r="68" spans="1:16" x14ac:dyDescent="0.3">
      <c r="A68" t="s">
        <v>3760</v>
      </c>
      <c r="C68" t="s">
        <v>3610</v>
      </c>
      <c r="D68" t="s">
        <v>404</v>
      </c>
      <c r="E68" t="s">
        <v>19</v>
      </c>
      <c r="F68" t="s">
        <v>1027</v>
      </c>
      <c r="G68" t="s">
        <v>20</v>
      </c>
      <c r="H68">
        <v>17553</v>
      </c>
      <c r="I68">
        <v>0</v>
      </c>
      <c r="J68">
        <v>0</v>
      </c>
      <c r="O68" t="s">
        <v>21</v>
      </c>
      <c r="P68" t="s">
        <v>3761</v>
      </c>
    </row>
    <row r="69" spans="1:16" x14ac:dyDescent="0.3">
      <c r="A69" t="s">
        <v>3762</v>
      </c>
      <c r="C69" t="s">
        <v>3610</v>
      </c>
      <c r="D69" t="s">
        <v>408</v>
      </c>
      <c r="E69" t="s">
        <v>409</v>
      </c>
      <c r="G69" t="s">
        <v>20</v>
      </c>
      <c r="H69">
        <v>2600</v>
      </c>
      <c r="I69">
        <v>13.975</v>
      </c>
      <c r="J69">
        <v>2586.0250000000001</v>
      </c>
      <c r="O69" t="s">
        <v>21</v>
      </c>
      <c r="P69" t="s">
        <v>3763</v>
      </c>
    </row>
    <row r="70" spans="1:16" x14ac:dyDescent="0.3">
      <c r="A70" t="s">
        <v>3764</v>
      </c>
      <c r="B70" s="1" t="s">
        <v>3765</v>
      </c>
      <c r="C70" t="s">
        <v>3610</v>
      </c>
      <c r="D70" t="s">
        <v>29</v>
      </c>
      <c r="E70" t="s">
        <v>1217</v>
      </c>
      <c r="F70" t="s">
        <v>3766</v>
      </c>
      <c r="G70" t="s">
        <v>20</v>
      </c>
      <c r="H70">
        <v>1050</v>
      </c>
      <c r="I70">
        <v>32.25</v>
      </c>
      <c r="J70">
        <v>1017.75</v>
      </c>
      <c r="O70" t="s">
        <v>21</v>
      </c>
      <c r="P70" t="s">
        <v>3767</v>
      </c>
    </row>
    <row r="71" spans="1:16" x14ac:dyDescent="0.3">
      <c r="A71" t="s">
        <v>3768</v>
      </c>
      <c r="C71" t="s">
        <v>3610</v>
      </c>
      <c r="D71" t="s">
        <v>408</v>
      </c>
      <c r="E71" t="s">
        <v>409</v>
      </c>
      <c r="G71" t="s">
        <v>20</v>
      </c>
      <c r="H71">
        <v>2000</v>
      </c>
      <c r="I71">
        <v>10.75</v>
      </c>
      <c r="J71">
        <v>1989.25</v>
      </c>
      <c r="O71" t="s">
        <v>21</v>
      </c>
      <c r="P71" t="s">
        <v>3769</v>
      </c>
    </row>
    <row r="72" spans="1:16" x14ac:dyDescent="0.3">
      <c r="A72" t="s">
        <v>3770</v>
      </c>
      <c r="C72" t="s">
        <v>3610</v>
      </c>
      <c r="D72" t="s">
        <v>408</v>
      </c>
      <c r="E72" t="s">
        <v>409</v>
      </c>
      <c r="G72" t="s">
        <v>20</v>
      </c>
      <c r="H72">
        <v>2100</v>
      </c>
      <c r="I72">
        <v>11.2875</v>
      </c>
      <c r="J72">
        <v>2088.7125000000001</v>
      </c>
      <c r="O72" t="s">
        <v>21</v>
      </c>
      <c r="P72" t="s">
        <v>3771</v>
      </c>
    </row>
    <row r="73" spans="1:16" x14ac:dyDescent="0.3">
      <c r="A73" t="s">
        <v>3772</v>
      </c>
      <c r="C73" t="s">
        <v>3610</v>
      </c>
      <c r="D73" t="s">
        <v>408</v>
      </c>
      <c r="E73" t="s">
        <v>409</v>
      </c>
      <c r="G73" t="s">
        <v>20</v>
      </c>
      <c r="H73">
        <v>1600</v>
      </c>
      <c r="I73">
        <v>8.6</v>
      </c>
      <c r="J73">
        <v>1591.4</v>
      </c>
      <c r="O73" t="s">
        <v>21</v>
      </c>
      <c r="P73" t="s">
        <v>3773</v>
      </c>
    </row>
    <row r="74" spans="1:16" x14ac:dyDescent="0.3">
      <c r="A74" t="s">
        <v>3774</v>
      </c>
      <c r="B74" s="1" t="s">
        <v>3775</v>
      </c>
      <c r="C74" t="s">
        <v>3610</v>
      </c>
      <c r="D74" t="s">
        <v>29</v>
      </c>
      <c r="E74" t="s">
        <v>1217</v>
      </c>
      <c r="F74" t="s">
        <v>3776</v>
      </c>
      <c r="G74" t="s">
        <v>20</v>
      </c>
      <c r="H74">
        <v>1000</v>
      </c>
      <c r="I74">
        <v>32.25</v>
      </c>
      <c r="J74">
        <v>967.75</v>
      </c>
      <c r="O74" t="s">
        <v>21</v>
      </c>
      <c r="P74" t="s">
        <v>3777</v>
      </c>
    </row>
    <row r="75" spans="1:16" x14ac:dyDescent="0.3">
      <c r="A75" t="s">
        <v>3778</v>
      </c>
      <c r="C75" t="s">
        <v>3610</v>
      </c>
      <c r="D75" t="s">
        <v>408</v>
      </c>
      <c r="E75" t="s">
        <v>409</v>
      </c>
      <c r="G75" t="s">
        <v>20</v>
      </c>
      <c r="H75">
        <v>2100</v>
      </c>
      <c r="I75">
        <v>11.2875</v>
      </c>
      <c r="J75">
        <v>2088.7125000000001</v>
      </c>
      <c r="O75" t="s">
        <v>21</v>
      </c>
      <c r="P75" t="s">
        <v>3779</v>
      </c>
    </row>
    <row r="76" spans="1:16" x14ac:dyDescent="0.3">
      <c r="A76" t="s">
        <v>3780</v>
      </c>
      <c r="B76" s="1" t="s">
        <v>3781</v>
      </c>
      <c r="C76" t="s">
        <v>3610</v>
      </c>
      <c r="D76" t="s">
        <v>29</v>
      </c>
      <c r="E76" t="s">
        <v>1217</v>
      </c>
      <c r="F76" t="s">
        <v>3782</v>
      </c>
      <c r="G76" t="s">
        <v>20</v>
      </c>
      <c r="H76">
        <v>1100</v>
      </c>
      <c r="I76">
        <v>32.25</v>
      </c>
      <c r="J76">
        <v>1067.75</v>
      </c>
      <c r="O76" t="s">
        <v>21</v>
      </c>
      <c r="P76" t="s">
        <v>3783</v>
      </c>
    </row>
    <row r="77" spans="1:16" x14ac:dyDescent="0.3">
      <c r="A77" t="s">
        <v>3784</v>
      </c>
      <c r="B77" s="1" t="s">
        <v>3785</v>
      </c>
      <c r="C77" t="s">
        <v>3610</v>
      </c>
      <c r="D77" t="s">
        <v>29</v>
      </c>
      <c r="E77" t="s">
        <v>1217</v>
      </c>
      <c r="F77" t="s">
        <v>3786</v>
      </c>
      <c r="G77" t="s">
        <v>20</v>
      </c>
      <c r="H77">
        <v>2100</v>
      </c>
      <c r="I77">
        <v>32.25</v>
      </c>
      <c r="J77">
        <v>2067.75</v>
      </c>
      <c r="O77" t="s">
        <v>21</v>
      </c>
      <c r="P77" t="s">
        <v>3787</v>
      </c>
    </row>
    <row r="78" spans="1:16" x14ac:dyDescent="0.3">
      <c r="A78" t="s">
        <v>3788</v>
      </c>
      <c r="C78" t="s">
        <v>3610</v>
      </c>
      <c r="D78" t="s">
        <v>408</v>
      </c>
      <c r="E78" t="s">
        <v>409</v>
      </c>
      <c r="G78" t="s">
        <v>20</v>
      </c>
      <c r="H78">
        <v>2100</v>
      </c>
      <c r="I78">
        <v>11.2875</v>
      </c>
      <c r="J78">
        <v>2088.7125000000001</v>
      </c>
      <c r="O78" t="s">
        <v>21</v>
      </c>
      <c r="P78" t="s">
        <v>3789</v>
      </c>
    </row>
    <row r="79" spans="1:16" x14ac:dyDescent="0.3">
      <c r="A79" t="s">
        <v>3790</v>
      </c>
      <c r="C79" t="s">
        <v>3610</v>
      </c>
      <c r="D79" t="s">
        <v>404</v>
      </c>
      <c r="E79" t="s">
        <v>19</v>
      </c>
      <c r="F79" t="s">
        <v>1038</v>
      </c>
      <c r="G79" t="s">
        <v>20</v>
      </c>
      <c r="H79">
        <v>5554</v>
      </c>
      <c r="I79">
        <v>0</v>
      </c>
      <c r="J79">
        <v>0</v>
      </c>
      <c r="O79" t="s">
        <v>21</v>
      </c>
      <c r="P79" t="s">
        <v>3791</v>
      </c>
    </row>
    <row r="80" spans="1:16" x14ac:dyDescent="0.3">
      <c r="A80" t="s">
        <v>3792</v>
      </c>
      <c r="B80" s="1" t="s">
        <v>3793</v>
      </c>
      <c r="C80" t="s">
        <v>3610</v>
      </c>
      <c r="D80" t="s">
        <v>29</v>
      </c>
      <c r="E80" t="s">
        <v>1217</v>
      </c>
      <c r="F80" t="s">
        <v>3794</v>
      </c>
      <c r="G80" t="s">
        <v>20</v>
      </c>
      <c r="H80">
        <v>3100</v>
      </c>
      <c r="I80">
        <v>32.25</v>
      </c>
      <c r="J80">
        <v>3067.75</v>
      </c>
      <c r="O80" t="s">
        <v>21</v>
      </c>
      <c r="P80" t="s">
        <v>3795</v>
      </c>
    </row>
    <row r="81" spans="1:16" x14ac:dyDescent="0.3">
      <c r="A81" t="s">
        <v>3796</v>
      </c>
      <c r="C81" t="s">
        <v>3610</v>
      </c>
      <c r="D81" t="s">
        <v>408</v>
      </c>
      <c r="E81" t="s">
        <v>409</v>
      </c>
      <c r="G81" t="s">
        <v>20</v>
      </c>
      <c r="H81">
        <v>500</v>
      </c>
      <c r="I81">
        <v>2.6875</v>
      </c>
      <c r="J81">
        <v>497.3125</v>
      </c>
      <c r="O81" t="s">
        <v>21</v>
      </c>
      <c r="P81" t="s">
        <v>3797</v>
      </c>
    </row>
    <row r="82" spans="1:16" x14ac:dyDescent="0.3">
      <c r="A82" t="s">
        <v>3798</v>
      </c>
      <c r="C82" t="s">
        <v>3610</v>
      </c>
      <c r="D82" t="s">
        <v>408</v>
      </c>
      <c r="E82" t="s">
        <v>409</v>
      </c>
      <c r="G82" t="s">
        <v>20</v>
      </c>
      <c r="H82">
        <v>1500</v>
      </c>
      <c r="I82" s="1" t="s">
        <v>1717</v>
      </c>
      <c r="J82">
        <v>1491.9375</v>
      </c>
      <c r="O82" t="s">
        <v>21</v>
      </c>
      <c r="P82" t="s">
        <v>3799</v>
      </c>
    </row>
    <row r="83" spans="1:16" x14ac:dyDescent="0.3">
      <c r="A83" t="s">
        <v>3800</v>
      </c>
      <c r="C83" t="s">
        <v>3610</v>
      </c>
      <c r="D83" t="s">
        <v>408</v>
      </c>
      <c r="E83" t="s">
        <v>409</v>
      </c>
      <c r="G83" t="s">
        <v>20</v>
      </c>
      <c r="H83">
        <v>500</v>
      </c>
      <c r="I83">
        <v>2.6875</v>
      </c>
      <c r="J83">
        <v>497.3125</v>
      </c>
      <c r="O83" t="s">
        <v>21</v>
      </c>
      <c r="P83" t="s">
        <v>3801</v>
      </c>
    </row>
    <row r="84" spans="1:16" x14ac:dyDescent="0.3">
      <c r="A84" t="s">
        <v>3802</v>
      </c>
      <c r="B84" s="1" t="s">
        <v>3803</v>
      </c>
      <c r="C84" t="s">
        <v>3610</v>
      </c>
      <c r="D84" t="s">
        <v>1203</v>
      </c>
      <c r="E84" t="s">
        <v>19</v>
      </c>
      <c r="G84" t="s">
        <v>20</v>
      </c>
      <c r="H84">
        <v>3900</v>
      </c>
      <c r="I84">
        <v>25</v>
      </c>
      <c r="J84">
        <v>0</v>
      </c>
      <c r="O84" t="s">
        <v>21</v>
      </c>
      <c r="P84" t="s">
        <v>3804</v>
      </c>
    </row>
    <row r="85" spans="1:16" x14ac:dyDescent="0.3">
      <c r="A85" t="s">
        <v>3805</v>
      </c>
      <c r="C85" t="s">
        <v>3610</v>
      </c>
      <c r="D85" t="s">
        <v>404</v>
      </c>
      <c r="E85" t="s">
        <v>19</v>
      </c>
      <c r="F85" t="s">
        <v>1111</v>
      </c>
      <c r="G85" t="s">
        <v>20</v>
      </c>
      <c r="H85">
        <v>3978</v>
      </c>
      <c r="I85">
        <v>0</v>
      </c>
      <c r="J85">
        <v>0</v>
      </c>
      <c r="O85" t="s">
        <v>21</v>
      </c>
      <c r="P85" t="s">
        <v>3806</v>
      </c>
    </row>
    <row r="86" spans="1:16" x14ac:dyDescent="0.3">
      <c r="A86" t="s">
        <v>3807</v>
      </c>
      <c r="C86" t="s">
        <v>3610</v>
      </c>
      <c r="D86" t="s">
        <v>408</v>
      </c>
      <c r="E86" t="s">
        <v>409</v>
      </c>
      <c r="G86" t="s">
        <v>20</v>
      </c>
      <c r="H86">
        <v>2000</v>
      </c>
      <c r="I86">
        <v>10.75</v>
      </c>
      <c r="J86">
        <v>1989.25</v>
      </c>
      <c r="O86" t="s">
        <v>21</v>
      </c>
      <c r="P86" t="s">
        <v>3808</v>
      </c>
    </row>
    <row r="87" spans="1:16" x14ac:dyDescent="0.3">
      <c r="A87" t="s">
        <v>3809</v>
      </c>
      <c r="C87" t="s">
        <v>3610</v>
      </c>
      <c r="D87" t="s">
        <v>408</v>
      </c>
      <c r="E87" t="s">
        <v>409</v>
      </c>
      <c r="G87" t="s">
        <v>20</v>
      </c>
      <c r="H87">
        <v>2000</v>
      </c>
      <c r="I87">
        <v>10.75</v>
      </c>
      <c r="J87">
        <v>1989.25</v>
      </c>
      <c r="O87" t="s">
        <v>21</v>
      </c>
      <c r="P87" t="s">
        <v>3810</v>
      </c>
    </row>
    <row r="88" spans="1:16" x14ac:dyDescent="0.3">
      <c r="A88" t="s">
        <v>3811</v>
      </c>
      <c r="B88" s="1" t="s">
        <v>3812</v>
      </c>
      <c r="C88" t="s">
        <v>3610</v>
      </c>
      <c r="D88" t="s">
        <v>1203</v>
      </c>
      <c r="E88" t="s">
        <v>19</v>
      </c>
      <c r="G88" t="s">
        <v>20</v>
      </c>
      <c r="H88">
        <v>26680</v>
      </c>
      <c r="I88">
        <v>25</v>
      </c>
      <c r="J88">
        <v>0</v>
      </c>
      <c r="O88" t="s">
        <v>21</v>
      </c>
      <c r="P88" t="s">
        <v>3813</v>
      </c>
    </row>
    <row r="89" spans="1:16" x14ac:dyDescent="0.3">
      <c r="A89" t="s">
        <v>3814</v>
      </c>
      <c r="C89" t="s">
        <v>3610</v>
      </c>
      <c r="D89" t="s">
        <v>404</v>
      </c>
      <c r="E89" t="s">
        <v>19</v>
      </c>
      <c r="F89" t="s">
        <v>3815</v>
      </c>
      <c r="G89" t="s">
        <v>20</v>
      </c>
      <c r="H89">
        <v>21185</v>
      </c>
      <c r="I89">
        <v>0</v>
      </c>
      <c r="J89">
        <v>0</v>
      </c>
      <c r="O89" t="s">
        <v>21</v>
      </c>
      <c r="P89" t="s">
        <v>3816</v>
      </c>
    </row>
    <row r="90" spans="1:16" x14ac:dyDescent="0.3">
      <c r="A90" t="s">
        <v>3817</v>
      </c>
      <c r="C90" t="s">
        <v>3610</v>
      </c>
      <c r="D90" t="s">
        <v>408</v>
      </c>
      <c r="E90" t="s">
        <v>409</v>
      </c>
      <c r="G90" t="s">
        <v>20</v>
      </c>
      <c r="H90">
        <v>15300</v>
      </c>
      <c r="I90">
        <v>82.237499999999997</v>
      </c>
      <c r="J90">
        <v>15217.762500000001</v>
      </c>
      <c r="O90" t="s">
        <v>21</v>
      </c>
      <c r="P90" t="s">
        <v>3818</v>
      </c>
    </row>
    <row r="91" spans="1:16" x14ac:dyDescent="0.3">
      <c r="A91" t="s">
        <v>3819</v>
      </c>
      <c r="C91" t="s">
        <v>3610</v>
      </c>
      <c r="D91" t="s">
        <v>408</v>
      </c>
      <c r="E91" t="s">
        <v>409</v>
      </c>
      <c r="G91" t="s">
        <v>20</v>
      </c>
      <c r="H91">
        <v>1000</v>
      </c>
      <c r="I91">
        <v>5.375</v>
      </c>
      <c r="J91">
        <v>994.625</v>
      </c>
      <c r="O91" t="s">
        <v>21</v>
      </c>
      <c r="P91" t="s">
        <v>3820</v>
      </c>
    </row>
    <row r="92" spans="1:16" x14ac:dyDescent="0.3">
      <c r="A92" t="s">
        <v>3821</v>
      </c>
      <c r="C92" t="s">
        <v>3610</v>
      </c>
      <c r="D92" t="s">
        <v>408</v>
      </c>
      <c r="E92" t="s">
        <v>409</v>
      </c>
      <c r="G92" t="s">
        <v>20</v>
      </c>
      <c r="H92">
        <v>2000</v>
      </c>
      <c r="I92">
        <v>10.75</v>
      </c>
      <c r="J92">
        <v>1989.25</v>
      </c>
      <c r="O92" t="s">
        <v>412</v>
      </c>
      <c r="P92" t="s">
        <v>3822</v>
      </c>
    </row>
    <row r="93" spans="1:16" x14ac:dyDescent="0.3">
      <c r="A93" t="s">
        <v>3823</v>
      </c>
      <c r="C93" t="s">
        <v>3610</v>
      </c>
      <c r="D93" t="s">
        <v>408</v>
      </c>
      <c r="E93" t="s">
        <v>409</v>
      </c>
      <c r="G93" t="s">
        <v>20</v>
      </c>
      <c r="H93">
        <v>5000</v>
      </c>
      <c r="I93" s="1" t="s">
        <v>1275</v>
      </c>
      <c r="J93">
        <v>4973.125</v>
      </c>
      <c r="O93" t="s">
        <v>21</v>
      </c>
      <c r="P93" t="s">
        <v>3824</v>
      </c>
    </row>
    <row r="94" spans="1:16" x14ac:dyDescent="0.3">
      <c r="A94" t="s">
        <v>3825</v>
      </c>
      <c r="C94" t="s">
        <v>3610</v>
      </c>
      <c r="D94" t="s">
        <v>408</v>
      </c>
      <c r="E94" t="s">
        <v>409</v>
      </c>
      <c r="G94" t="s">
        <v>20</v>
      </c>
      <c r="H94">
        <v>8000</v>
      </c>
      <c r="I94">
        <v>43</v>
      </c>
      <c r="J94">
        <v>7957</v>
      </c>
      <c r="O94" t="s">
        <v>412</v>
      </c>
      <c r="P94" t="s">
        <v>3826</v>
      </c>
    </row>
    <row r="95" spans="1:16" x14ac:dyDescent="0.3">
      <c r="A95" t="s">
        <v>3827</v>
      </c>
      <c r="C95" t="s">
        <v>3610</v>
      </c>
      <c r="D95" t="s">
        <v>408</v>
      </c>
      <c r="E95" t="s">
        <v>409</v>
      </c>
      <c r="G95" t="s">
        <v>20</v>
      </c>
      <c r="H95">
        <v>10000</v>
      </c>
      <c r="I95" s="1" t="s">
        <v>1432</v>
      </c>
      <c r="J95">
        <v>9946.25</v>
      </c>
      <c r="O95" t="s">
        <v>412</v>
      </c>
      <c r="P95" t="s">
        <v>3828</v>
      </c>
    </row>
    <row r="96" spans="1:16" x14ac:dyDescent="0.3">
      <c r="A96" t="s">
        <v>3829</v>
      </c>
      <c r="C96" t="s">
        <v>3610</v>
      </c>
      <c r="D96" t="s">
        <v>404</v>
      </c>
      <c r="E96" t="s">
        <v>19</v>
      </c>
      <c r="F96" t="s">
        <v>2325</v>
      </c>
      <c r="G96" t="s">
        <v>20</v>
      </c>
      <c r="H96">
        <v>5367</v>
      </c>
      <c r="I96">
        <v>0</v>
      </c>
      <c r="J96">
        <v>0</v>
      </c>
      <c r="O96" t="s">
        <v>21</v>
      </c>
      <c r="P96" t="s">
        <v>3830</v>
      </c>
    </row>
    <row r="97" spans="1:16" x14ac:dyDescent="0.3">
      <c r="A97" t="s">
        <v>3831</v>
      </c>
      <c r="B97" s="1" t="s">
        <v>3832</v>
      </c>
      <c r="C97" t="s">
        <v>3610</v>
      </c>
      <c r="D97" t="s">
        <v>1203</v>
      </c>
      <c r="E97" t="s">
        <v>19</v>
      </c>
      <c r="G97" t="s">
        <v>20</v>
      </c>
      <c r="H97">
        <v>61900</v>
      </c>
      <c r="I97">
        <v>25</v>
      </c>
      <c r="J97">
        <v>0</v>
      </c>
      <c r="O97" t="s">
        <v>21</v>
      </c>
      <c r="P97" t="s">
        <v>3833</v>
      </c>
    </row>
    <row r="98" spans="1:16" x14ac:dyDescent="0.3">
      <c r="A98" t="s">
        <v>3834</v>
      </c>
      <c r="B98" s="1" t="s">
        <v>3835</v>
      </c>
      <c r="C98" t="s">
        <v>3610</v>
      </c>
      <c r="D98" t="s">
        <v>29</v>
      </c>
      <c r="E98" t="s">
        <v>1217</v>
      </c>
      <c r="F98" t="s">
        <v>3836</v>
      </c>
      <c r="G98" t="s">
        <v>20</v>
      </c>
      <c r="H98">
        <v>5400</v>
      </c>
      <c r="I98">
        <v>32.25</v>
      </c>
      <c r="J98">
        <v>5367.75</v>
      </c>
      <c r="O98" t="s">
        <v>21</v>
      </c>
      <c r="P98" t="s">
        <v>3837</v>
      </c>
    </row>
    <row r="99" spans="1:16" x14ac:dyDescent="0.3">
      <c r="A99" t="s">
        <v>3838</v>
      </c>
      <c r="C99" t="s">
        <v>3610</v>
      </c>
      <c r="D99" t="s">
        <v>408</v>
      </c>
      <c r="E99" t="s">
        <v>409</v>
      </c>
      <c r="G99" t="s">
        <v>20</v>
      </c>
      <c r="H99">
        <v>87000</v>
      </c>
      <c r="I99">
        <v>107.5</v>
      </c>
      <c r="J99">
        <v>86892.5</v>
      </c>
      <c r="O99" t="s">
        <v>412</v>
      </c>
      <c r="P99" t="s">
        <v>3839</v>
      </c>
    </row>
    <row r="100" spans="1:16" x14ac:dyDescent="0.3">
      <c r="A100" t="s">
        <v>3840</v>
      </c>
      <c r="C100" t="s">
        <v>3610</v>
      </c>
      <c r="D100" t="s">
        <v>1116</v>
      </c>
      <c r="E100" t="s">
        <v>1117</v>
      </c>
      <c r="F100" t="s">
        <v>1118</v>
      </c>
      <c r="G100" t="s">
        <v>20</v>
      </c>
      <c r="H100">
        <v>0</v>
      </c>
      <c r="I100">
        <v>0</v>
      </c>
      <c r="J100">
        <v>0</v>
      </c>
      <c r="O100" t="s">
        <v>21</v>
      </c>
      <c r="P100" t="s">
        <v>3841</v>
      </c>
    </row>
    <row r="101" spans="1:16" x14ac:dyDescent="0.3">
      <c r="A101" t="s">
        <v>3842</v>
      </c>
      <c r="C101" t="s">
        <v>3610</v>
      </c>
      <c r="D101" t="s">
        <v>404</v>
      </c>
      <c r="E101" t="s">
        <v>19</v>
      </c>
      <c r="F101" t="s">
        <v>3843</v>
      </c>
      <c r="G101" t="s">
        <v>20</v>
      </c>
      <c r="H101">
        <v>20818</v>
      </c>
      <c r="I101">
        <v>0</v>
      </c>
      <c r="J101">
        <v>0</v>
      </c>
      <c r="O101" t="s">
        <v>21</v>
      </c>
      <c r="P101" t="s">
        <v>3844</v>
      </c>
    </row>
    <row r="102" spans="1:16" x14ac:dyDescent="0.3">
      <c r="A102" t="s">
        <v>3845</v>
      </c>
      <c r="C102" t="s">
        <v>3610</v>
      </c>
      <c r="D102" t="s">
        <v>408</v>
      </c>
      <c r="E102" t="s">
        <v>409</v>
      </c>
      <c r="G102" t="s">
        <v>20</v>
      </c>
      <c r="H102">
        <v>2000</v>
      </c>
      <c r="I102">
        <v>10.75</v>
      </c>
      <c r="J102">
        <v>1989.25</v>
      </c>
      <c r="O102" t="s">
        <v>21</v>
      </c>
      <c r="P102" t="s">
        <v>3846</v>
      </c>
    </row>
    <row r="103" spans="1:16" x14ac:dyDescent="0.3">
      <c r="A103" t="s">
        <v>3847</v>
      </c>
      <c r="B103" s="1" t="s">
        <v>3848</v>
      </c>
      <c r="C103" t="s">
        <v>3610</v>
      </c>
      <c r="D103" t="s">
        <v>29</v>
      </c>
      <c r="E103" t="s">
        <v>1217</v>
      </c>
      <c r="F103" t="s">
        <v>3849</v>
      </c>
      <c r="G103" t="s">
        <v>20</v>
      </c>
      <c r="H103">
        <v>2100</v>
      </c>
      <c r="I103">
        <v>32.25</v>
      </c>
      <c r="J103">
        <v>2067.75</v>
      </c>
      <c r="O103" t="s">
        <v>21</v>
      </c>
      <c r="P103" t="s">
        <v>3850</v>
      </c>
    </row>
    <row r="104" spans="1:16" x14ac:dyDescent="0.3">
      <c r="A104" t="s">
        <v>3851</v>
      </c>
      <c r="B104" s="1" t="s">
        <v>3852</v>
      </c>
      <c r="C104" t="s">
        <v>3610</v>
      </c>
      <c r="D104" t="s">
        <v>29</v>
      </c>
      <c r="E104" t="s">
        <v>1217</v>
      </c>
      <c r="F104" t="s">
        <v>3853</v>
      </c>
      <c r="G104" t="s">
        <v>20</v>
      </c>
      <c r="H104">
        <v>1100</v>
      </c>
      <c r="I104">
        <v>32.25</v>
      </c>
      <c r="J104">
        <v>1067.75</v>
      </c>
      <c r="O104" t="s">
        <v>21</v>
      </c>
      <c r="P104" t="s">
        <v>3854</v>
      </c>
    </row>
    <row r="105" spans="1:16" x14ac:dyDescent="0.3">
      <c r="A105" t="s">
        <v>3855</v>
      </c>
      <c r="C105" t="s">
        <v>3610</v>
      </c>
      <c r="D105" t="s">
        <v>408</v>
      </c>
      <c r="E105" t="s">
        <v>409</v>
      </c>
      <c r="G105" t="s">
        <v>20</v>
      </c>
      <c r="H105">
        <v>3000</v>
      </c>
      <c r="I105" s="1" t="s">
        <v>1393</v>
      </c>
      <c r="J105">
        <v>2983.875</v>
      </c>
      <c r="O105" t="s">
        <v>21</v>
      </c>
      <c r="P105" t="s">
        <v>3856</v>
      </c>
    </row>
    <row r="106" spans="1:16" x14ac:dyDescent="0.3">
      <c r="A106" t="s">
        <v>3857</v>
      </c>
      <c r="B106" s="1" t="s">
        <v>3858</v>
      </c>
      <c r="C106" t="s">
        <v>3610</v>
      </c>
      <c r="D106" t="s">
        <v>29</v>
      </c>
      <c r="E106" t="s">
        <v>1217</v>
      </c>
      <c r="F106" t="s">
        <v>3859</v>
      </c>
      <c r="G106" t="s">
        <v>20</v>
      </c>
      <c r="H106">
        <v>2100</v>
      </c>
      <c r="I106">
        <v>32.25</v>
      </c>
      <c r="J106">
        <v>2067.75</v>
      </c>
      <c r="O106" t="s">
        <v>21</v>
      </c>
      <c r="P106" t="s">
        <v>3860</v>
      </c>
    </row>
    <row r="107" spans="1:16" x14ac:dyDescent="0.3">
      <c r="A107" t="s">
        <v>3861</v>
      </c>
      <c r="C107" t="s">
        <v>3610</v>
      </c>
      <c r="D107" t="s">
        <v>408</v>
      </c>
      <c r="E107" t="s">
        <v>409</v>
      </c>
      <c r="G107" t="s">
        <v>20</v>
      </c>
      <c r="H107">
        <v>1500</v>
      </c>
      <c r="I107" s="1" t="s">
        <v>1717</v>
      </c>
      <c r="J107">
        <v>1491.9375</v>
      </c>
      <c r="O107" t="s">
        <v>21</v>
      </c>
      <c r="P107" t="s">
        <v>3862</v>
      </c>
    </row>
    <row r="108" spans="1:16" x14ac:dyDescent="0.3">
      <c r="A108" t="s">
        <v>3863</v>
      </c>
      <c r="C108" t="s">
        <v>3610</v>
      </c>
      <c r="D108" t="s">
        <v>408</v>
      </c>
      <c r="E108" t="s">
        <v>409</v>
      </c>
      <c r="G108" t="s">
        <v>20</v>
      </c>
      <c r="H108">
        <v>5100</v>
      </c>
      <c r="I108">
        <v>27.412500000000001</v>
      </c>
      <c r="J108">
        <v>5072.5874999999996</v>
      </c>
      <c r="O108" t="s">
        <v>21</v>
      </c>
      <c r="P108" t="s">
        <v>3864</v>
      </c>
    </row>
    <row r="109" spans="1:16" x14ac:dyDescent="0.3">
      <c r="A109" t="s">
        <v>3865</v>
      </c>
      <c r="C109" t="s">
        <v>3610</v>
      </c>
      <c r="D109" t="s">
        <v>408</v>
      </c>
      <c r="E109" t="s">
        <v>409</v>
      </c>
      <c r="G109" t="s">
        <v>20</v>
      </c>
      <c r="H109">
        <v>4100</v>
      </c>
      <c r="I109">
        <v>22.037500000000001</v>
      </c>
      <c r="J109">
        <v>4077.9625000000001</v>
      </c>
      <c r="O109" t="s">
        <v>21</v>
      </c>
      <c r="P109" t="s">
        <v>3866</v>
      </c>
    </row>
    <row r="110" spans="1:16" x14ac:dyDescent="0.3">
      <c r="A110" t="s">
        <v>3867</v>
      </c>
      <c r="C110" t="s">
        <v>3610</v>
      </c>
      <c r="D110" t="s">
        <v>408</v>
      </c>
      <c r="E110" t="s">
        <v>409</v>
      </c>
      <c r="G110" t="s">
        <v>20</v>
      </c>
      <c r="H110">
        <v>2000</v>
      </c>
      <c r="I110">
        <v>10.75</v>
      </c>
      <c r="J110">
        <v>1989.25</v>
      </c>
      <c r="O110" t="s">
        <v>412</v>
      </c>
      <c r="P110" t="s">
        <v>3868</v>
      </c>
    </row>
    <row r="111" spans="1:16" x14ac:dyDescent="0.3">
      <c r="A111" t="s">
        <v>3869</v>
      </c>
      <c r="C111" t="s">
        <v>3610</v>
      </c>
      <c r="D111" t="s">
        <v>408</v>
      </c>
      <c r="E111" t="s">
        <v>409</v>
      </c>
      <c r="G111" t="s">
        <v>20</v>
      </c>
      <c r="H111">
        <v>2100</v>
      </c>
      <c r="I111">
        <v>11.2875</v>
      </c>
      <c r="J111">
        <v>2088.7125000000001</v>
      </c>
      <c r="O111" t="s">
        <v>412</v>
      </c>
      <c r="P111" t="s">
        <v>3870</v>
      </c>
    </row>
    <row r="112" spans="1:16" x14ac:dyDescent="0.3">
      <c r="A112" t="s">
        <v>3871</v>
      </c>
      <c r="C112" t="s">
        <v>3610</v>
      </c>
      <c r="D112" t="s">
        <v>404</v>
      </c>
      <c r="E112" t="s">
        <v>19</v>
      </c>
      <c r="F112" t="s">
        <v>2338</v>
      </c>
      <c r="G112" t="s">
        <v>20</v>
      </c>
      <c r="H112">
        <v>40961</v>
      </c>
      <c r="I112">
        <v>0</v>
      </c>
      <c r="J112">
        <v>0</v>
      </c>
      <c r="O112" t="s">
        <v>21</v>
      </c>
      <c r="P112" t="s">
        <v>3872</v>
      </c>
    </row>
    <row r="113" spans="1:16" x14ac:dyDescent="0.3">
      <c r="A113" t="s">
        <v>3873</v>
      </c>
      <c r="C113" t="s">
        <v>3610</v>
      </c>
      <c r="D113" t="s">
        <v>408</v>
      </c>
      <c r="E113" t="s">
        <v>409</v>
      </c>
      <c r="G113" t="s">
        <v>20</v>
      </c>
      <c r="H113">
        <v>5000</v>
      </c>
      <c r="I113" s="1" t="s">
        <v>1275</v>
      </c>
      <c r="J113">
        <v>4973.125</v>
      </c>
      <c r="O113" t="s">
        <v>21</v>
      </c>
      <c r="P113" t="s">
        <v>3874</v>
      </c>
    </row>
    <row r="114" spans="1:16" x14ac:dyDescent="0.3">
      <c r="A114" t="s">
        <v>3875</v>
      </c>
      <c r="C114" t="s">
        <v>3610</v>
      </c>
      <c r="D114" t="s">
        <v>408</v>
      </c>
      <c r="E114" t="s">
        <v>409</v>
      </c>
      <c r="G114" t="s">
        <v>20</v>
      </c>
      <c r="H114">
        <v>2100</v>
      </c>
      <c r="I114">
        <v>11.2875</v>
      </c>
      <c r="J114">
        <v>2088.7125000000001</v>
      </c>
      <c r="O114" t="s">
        <v>21</v>
      </c>
      <c r="P114" t="s">
        <v>3876</v>
      </c>
    </row>
    <row r="115" spans="1:16" x14ac:dyDescent="0.3">
      <c r="A115" t="s">
        <v>3877</v>
      </c>
      <c r="C115" t="s">
        <v>3610</v>
      </c>
      <c r="D115" t="s">
        <v>408</v>
      </c>
      <c r="E115" t="s">
        <v>409</v>
      </c>
      <c r="G115" t="s">
        <v>20</v>
      </c>
      <c r="H115">
        <v>20300</v>
      </c>
      <c r="I115">
        <v>107.5</v>
      </c>
      <c r="J115">
        <v>20192.5</v>
      </c>
      <c r="O115" t="s">
        <v>21</v>
      </c>
      <c r="P115" t="s">
        <v>3878</v>
      </c>
    </row>
    <row r="116" spans="1:16" x14ac:dyDescent="0.3">
      <c r="A116" t="s">
        <v>3879</v>
      </c>
      <c r="C116" t="s">
        <v>3610</v>
      </c>
      <c r="D116" t="s">
        <v>408</v>
      </c>
      <c r="E116" t="s">
        <v>409</v>
      </c>
      <c r="G116" t="s">
        <v>20</v>
      </c>
      <c r="H116">
        <v>2000</v>
      </c>
      <c r="I116">
        <v>10.75</v>
      </c>
      <c r="J116">
        <v>1989.25</v>
      </c>
      <c r="O116" t="s">
        <v>21</v>
      </c>
      <c r="P116" t="s">
        <v>3880</v>
      </c>
    </row>
    <row r="117" spans="1:16" x14ac:dyDescent="0.3">
      <c r="A117" t="s">
        <v>3881</v>
      </c>
      <c r="C117" t="s">
        <v>3610</v>
      </c>
      <c r="D117" t="s">
        <v>408</v>
      </c>
      <c r="E117" t="s">
        <v>409</v>
      </c>
      <c r="G117" t="s">
        <v>20</v>
      </c>
      <c r="H117">
        <v>2000</v>
      </c>
      <c r="I117">
        <v>10.75</v>
      </c>
      <c r="J117">
        <v>1989.25</v>
      </c>
      <c r="O117" t="s">
        <v>412</v>
      </c>
      <c r="P117" t="s">
        <v>3882</v>
      </c>
    </row>
    <row r="118" spans="1:16" x14ac:dyDescent="0.3">
      <c r="A118" t="s">
        <v>3883</v>
      </c>
      <c r="C118" t="s">
        <v>3610</v>
      </c>
      <c r="D118" t="s">
        <v>408</v>
      </c>
      <c r="E118" t="s">
        <v>409</v>
      </c>
      <c r="G118" t="s">
        <v>20</v>
      </c>
      <c r="H118">
        <v>3100</v>
      </c>
      <c r="I118">
        <v>16.662500000000001</v>
      </c>
      <c r="J118">
        <v>3083.3375000000001</v>
      </c>
      <c r="O118" t="s">
        <v>21</v>
      </c>
      <c r="P118" t="s">
        <v>3884</v>
      </c>
    </row>
    <row r="119" spans="1:16" x14ac:dyDescent="0.3">
      <c r="A119" t="s">
        <v>3885</v>
      </c>
      <c r="B119" s="1" t="s">
        <v>3886</v>
      </c>
      <c r="C119" t="s">
        <v>3610</v>
      </c>
      <c r="D119" t="s">
        <v>29</v>
      </c>
      <c r="E119" t="s">
        <v>1217</v>
      </c>
      <c r="F119" t="s">
        <v>3887</v>
      </c>
      <c r="G119" t="s">
        <v>20</v>
      </c>
      <c r="H119">
        <v>2600</v>
      </c>
      <c r="I119">
        <v>32.25</v>
      </c>
      <c r="J119">
        <v>2567.75</v>
      </c>
      <c r="O119" t="s">
        <v>21</v>
      </c>
      <c r="P119" t="s">
        <v>3888</v>
      </c>
    </row>
    <row r="120" spans="1:16" x14ac:dyDescent="0.3">
      <c r="A120" t="s">
        <v>3889</v>
      </c>
      <c r="C120" t="s">
        <v>3610</v>
      </c>
      <c r="D120" t="s">
        <v>408</v>
      </c>
      <c r="E120" t="s">
        <v>409</v>
      </c>
      <c r="G120" t="s">
        <v>20</v>
      </c>
      <c r="H120">
        <v>4100</v>
      </c>
      <c r="I120">
        <v>22.037500000000001</v>
      </c>
      <c r="J120">
        <v>4077.9625000000001</v>
      </c>
      <c r="O120" t="s">
        <v>21</v>
      </c>
      <c r="P120" t="s">
        <v>3890</v>
      </c>
    </row>
    <row r="121" spans="1:16" x14ac:dyDescent="0.3">
      <c r="A121" t="s">
        <v>3891</v>
      </c>
      <c r="C121" t="s">
        <v>3610</v>
      </c>
      <c r="D121" t="s">
        <v>408</v>
      </c>
      <c r="E121" t="s">
        <v>409</v>
      </c>
      <c r="G121" t="s">
        <v>20</v>
      </c>
      <c r="H121">
        <v>2000</v>
      </c>
      <c r="I121">
        <v>10.75</v>
      </c>
      <c r="J121">
        <v>1989.25</v>
      </c>
      <c r="O121" t="s">
        <v>21</v>
      </c>
      <c r="P121" t="s">
        <v>3892</v>
      </c>
    </row>
    <row r="122" spans="1:16" x14ac:dyDescent="0.3">
      <c r="A122" t="s">
        <v>3893</v>
      </c>
      <c r="B122" s="1" t="s">
        <v>3894</v>
      </c>
      <c r="C122" t="s">
        <v>3610</v>
      </c>
      <c r="D122" t="s">
        <v>1203</v>
      </c>
      <c r="E122" t="s">
        <v>19</v>
      </c>
      <c r="G122" t="s">
        <v>20</v>
      </c>
      <c r="H122">
        <v>161500</v>
      </c>
      <c r="I122">
        <v>25</v>
      </c>
      <c r="J122">
        <v>0</v>
      </c>
      <c r="O122" t="s">
        <v>21</v>
      </c>
      <c r="P122" t="s">
        <v>3895</v>
      </c>
    </row>
    <row r="123" spans="1:16" x14ac:dyDescent="0.3">
      <c r="A123" t="s">
        <v>3896</v>
      </c>
      <c r="C123" t="s">
        <v>3610</v>
      </c>
      <c r="D123" t="s">
        <v>404</v>
      </c>
      <c r="E123" t="s">
        <v>19</v>
      </c>
      <c r="F123" t="s">
        <v>3897</v>
      </c>
      <c r="G123" t="s">
        <v>20</v>
      </c>
      <c r="H123">
        <v>161731</v>
      </c>
      <c r="I123">
        <v>0</v>
      </c>
      <c r="J123">
        <v>0</v>
      </c>
      <c r="O123" t="s">
        <v>21</v>
      </c>
      <c r="P123" t="s">
        <v>3898</v>
      </c>
    </row>
    <row r="124" spans="1:16" x14ac:dyDescent="0.3">
      <c r="A124" t="e">
        <f>-JNt4nnSJQv6YmK7MQhA7</f>
        <v>#NAME?</v>
      </c>
      <c r="C124" t="s">
        <v>3610</v>
      </c>
      <c r="D124" t="s">
        <v>408</v>
      </c>
      <c r="E124" t="s">
        <v>409</v>
      </c>
      <c r="G124" t="s">
        <v>20</v>
      </c>
      <c r="H124">
        <v>100000</v>
      </c>
      <c r="I124">
        <v>107.5</v>
      </c>
      <c r="J124">
        <v>99892.5</v>
      </c>
      <c r="O124" t="s">
        <v>21</v>
      </c>
      <c r="P124" t="s">
        <v>3899</v>
      </c>
    </row>
    <row r="125" spans="1:16" x14ac:dyDescent="0.3">
      <c r="A125" t="s">
        <v>3900</v>
      </c>
      <c r="C125" t="s">
        <v>3610</v>
      </c>
      <c r="D125" t="s">
        <v>408</v>
      </c>
      <c r="E125" t="s">
        <v>409</v>
      </c>
      <c r="G125" t="s">
        <v>20</v>
      </c>
      <c r="H125">
        <v>5100</v>
      </c>
      <c r="I125">
        <v>27.412500000000001</v>
      </c>
      <c r="J125">
        <v>5072.5874999999996</v>
      </c>
      <c r="O125" t="s">
        <v>21</v>
      </c>
      <c r="P125" t="s">
        <v>3901</v>
      </c>
    </row>
    <row r="126" spans="1:16" x14ac:dyDescent="0.3">
      <c r="A126" t="s">
        <v>3902</v>
      </c>
      <c r="C126" t="s">
        <v>3610</v>
      </c>
      <c r="D126" t="s">
        <v>408</v>
      </c>
      <c r="E126" t="s">
        <v>409</v>
      </c>
      <c r="G126" t="s">
        <v>20</v>
      </c>
      <c r="H126">
        <v>25000</v>
      </c>
      <c r="I126">
        <v>107.5</v>
      </c>
      <c r="J126">
        <v>24892.5</v>
      </c>
      <c r="O126" t="s">
        <v>21</v>
      </c>
      <c r="P126" t="s">
        <v>3903</v>
      </c>
    </row>
    <row r="127" spans="1:16" x14ac:dyDescent="0.3">
      <c r="A127" t="s">
        <v>3904</v>
      </c>
      <c r="B127" s="1" t="s">
        <v>3905</v>
      </c>
      <c r="C127" t="s">
        <v>3610</v>
      </c>
      <c r="D127" t="s">
        <v>29</v>
      </c>
      <c r="E127" t="s">
        <v>1217</v>
      </c>
      <c r="F127" t="s">
        <v>3906</v>
      </c>
      <c r="G127" t="s">
        <v>20</v>
      </c>
      <c r="H127">
        <v>1000</v>
      </c>
      <c r="I127">
        <v>32.25</v>
      </c>
      <c r="J127">
        <v>967.75</v>
      </c>
      <c r="O127" t="s">
        <v>21</v>
      </c>
      <c r="P127" t="s">
        <v>3907</v>
      </c>
    </row>
    <row r="128" spans="1:16" x14ac:dyDescent="0.3">
      <c r="A128" t="s">
        <v>3908</v>
      </c>
      <c r="C128" t="s">
        <v>3610</v>
      </c>
      <c r="D128" t="s">
        <v>408</v>
      </c>
      <c r="E128" t="s">
        <v>409</v>
      </c>
      <c r="G128" t="s">
        <v>20</v>
      </c>
      <c r="H128">
        <v>7200</v>
      </c>
      <c r="I128">
        <v>38.700000000000003</v>
      </c>
      <c r="J128">
        <v>7161.3</v>
      </c>
      <c r="O128" t="s">
        <v>21</v>
      </c>
      <c r="P128" t="s">
        <v>3909</v>
      </c>
    </row>
    <row r="129" spans="1:16" x14ac:dyDescent="0.3">
      <c r="A129" t="s">
        <v>3910</v>
      </c>
      <c r="C129" t="s">
        <v>3610</v>
      </c>
      <c r="D129" t="s">
        <v>408</v>
      </c>
      <c r="E129" t="s">
        <v>409</v>
      </c>
      <c r="G129" t="s">
        <v>20</v>
      </c>
      <c r="H129">
        <v>1000</v>
      </c>
      <c r="I129">
        <v>5.375</v>
      </c>
      <c r="J129">
        <v>994.625</v>
      </c>
      <c r="O129" t="s">
        <v>412</v>
      </c>
      <c r="P129" t="s">
        <v>3911</v>
      </c>
    </row>
    <row r="130" spans="1:16" x14ac:dyDescent="0.3">
      <c r="A130" t="s">
        <v>3912</v>
      </c>
      <c r="C130" t="s">
        <v>3610</v>
      </c>
      <c r="D130" t="s">
        <v>408</v>
      </c>
      <c r="E130" t="s">
        <v>409</v>
      </c>
      <c r="G130" t="s">
        <v>20</v>
      </c>
      <c r="H130">
        <v>1100</v>
      </c>
      <c r="I130">
        <v>5.9124999999999996</v>
      </c>
      <c r="J130">
        <v>1094.0875000000001</v>
      </c>
      <c r="O130" t="s">
        <v>412</v>
      </c>
      <c r="P130" t="s">
        <v>3913</v>
      </c>
    </row>
    <row r="131" spans="1:16" x14ac:dyDescent="0.3">
      <c r="A131" t="s">
        <v>3914</v>
      </c>
      <c r="C131" t="s">
        <v>3610</v>
      </c>
      <c r="D131" t="s">
        <v>408</v>
      </c>
      <c r="E131" t="s">
        <v>409</v>
      </c>
      <c r="G131" t="s">
        <v>20</v>
      </c>
      <c r="H131">
        <v>2000</v>
      </c>
      <c r="I131">
        <v>10.75</v>
      </c>
      <c r="J131">
        <v>1989.25</v>
      </c>
      <c r="O131" t="s">
        <v>21</v>
      </c>
      <c r="P131" t="s">
        <v>3915</v>
      </c>
    </row>
    <row r="132" spans="1:16" x14ac:dyDescent="0.3">
      <c r="A132" t="s">
        <v>3916</v>
      </c>
      <c r="C132" t="s">
        <v>3610</v>
      </c>
      <c r="D132" t="s">
        <v>408</v>
      </c>
      <c r="E132" t="s">
        <v>409</v>
      </c>
      <c r="G132" t="s">
        <v>20</v>
      </c>
      <c r="H132">
        <v>2100</v>
      </c>
      <c r="I132">
        <v>11.2875</v>
      </c>
      <c r="J132">
        <v>2088.7125000000001</v>
      </c>
      <c r="O132" t="s">
        <v>21</v>
      </c>
      <c r="P132" t="s">
        <v>3917</v>
      </c>
    </row>
    <row r="133" spans="1:16" x14ac:dyDescent="0.3">
      <c r="A133" t="s">
        <v>3918</v>
      </c>
      <c r="C133" t="s">
        <v>3610</v>
      </c>
      <c r="D133" t="s">
        <v>408</v>
      </c>
      <c r="E133" t="s">
        <v>409</v>
      </c>
      <c r="G133" t="s">
        <v>20</v>
      </c>
      <c r="H133">
        <v>2000</v>
      </c>
      <c r="I133">
        <v>10.75</v>
      </c>
      <c r="J133">
        <v>1989.25</v>
      </c>
      <c r="O133" t="s">
        <v>21</v>
      </c>
      <c r="P133" t="s">
        <v>3919</v>
      </c>
    </row>
    <row r="134" spans="1:16" x14ac:dyDescent="0.3">
      <c r="A134" t="s">
        <v>3920</v>
      </c>
      <c r="C134" t="s">
        <v>3610</v>
      </c>
      <c r="D134" t="s">
        <v>408</v>
      </c>
      <c r="E134" t="s">
        <v>409</v>
      </c>
      <c r="G134" t="s">
        <v>20</v>
      </c>
      <c r="H134">
        <v>2000</v>
      </c>
      <c r="I134">
        <v>10.75</v>
      </c>
      <c r="J134">
        <v>1989.25</v>
      </c>
      <c r="O134" t="s">
        <v>412</v>
      </c>
      <c r="P134" t="s">
        <v>3921</v>
      </c>
    </row>
    <row r="135" spans="1:16" x14ac:dyDescent="0.3">
      <c r="A135" t="s">
        <v>3922</v>
      </c>
      <c r="C135" t="s">
        <v>3610</v>
      </c>
      <c r="D135" t="s">
        <v>408</v>
      </c>
      <c r="E135" t="s">
        <v>409</v>
      </c>
      <c r="G135" t="s">
        <v>20</v>
      </c>
      <c r="H135">
        <v>2000</v>
      </c>
      <c r="I135">
        <v>10.75</v>
      </c>
      <c r="J135">
        <v>1989.25</v>
      </c>
      <c r="O135" t="s">
        <v>21</v>
      </c>
      <c r="P135" t="s">
        <v>3923</v>
      </c>
    </row>
    <row r="136" spans="1:16" x14ac:dyDescent="0.3">
      <c r="A136" t="s">
        <v>3924</v>
      </c>
      <c r="C136" t="s">
        <v>3610</v>
      </c>
      <c r="D136" t="s">
        <v>408</v>
      </c>
      <c r="E136" t="s">
        <v>409</v>
      </c>
      <c r="G136" t="s">
        <v>20</v>
      </c>
      <c r="H136">
        <v>5100</v>
      </c>
      <c r="I136">
        <v>27.412500000000001</v>
      </c>
      <c r="J136">
        <v>5072.5874999999996</v>
      </c>
      <c r="O136" t="s">
        <v>21</v>
      </c>
      <c r="P136" t="s">
        <v>3925</v>
      </c>
    </row>
    <row r="137" spans="1:16" x14ac:dyDescent="0.3">
      <c r="A137" t="s">
        <v>3926</v>
      </c>
      <c r="C137" t="s">
        <v>3610</v>
      </c>
      <c r="D137" t="s">
        <v>408</v>
      </c>
      <c r="E137" t="s">
        <v>409</v>
      </c>
      <c r="G137" t="s">
        <v>20</v>
      </c>
      <c r="H137">
        <v>9600</v>
      </c>
      <c r="I137" s="1" t="s">
        <v>1816</v>
      </c>
      <c r="J137">
        <v>9548.4</v>
      </c>
      <c r="O137" t="s">
        <v>21</v>
      </c>
      <c r="P137" t="s">
        <v>3927</v>
      </c>
    </row>
    <row r="138" spans="1:16" x14ac:dyDescent="0.3">
      <c r="A138" t="s">
        <v>3928</v>
      </c>
      <c r="B138" s="1" t="s">
        <v>3929</v>
      </c>
      <c r="C138" t="s">
        <v>3610</v>
      </c>
      <c r="D138" t="s">
        <v>29</v>
      </c>
      <c r="E138" t="s">
        <v>1217</v>
      </c>
      <c r="F138" t="s">
        <v>3930</v>
      </c>
      <c r="G138" t="s">
        <v>20</v>
      </c>
      <c r="H138">
        <v>1100</v>
      </c>
      <c r="I138">
        <v>32.25</v>
      </c>
      <c r="J138">
        <v>1067.75</v>
      </c>
      <c r="O138" t="s">
        <v>21</v>
      </c>
      <c r="P138" t="s">
        <v>3931</v>
      </c>
    </row>
    <row r="139" spans="1:16" x14ac:dyDescent="0.3">
      <c r="A139" t="s">
        <v>3932</v>
      </c>
      <c r="B139" s="1" t="s">
        <v>3933</v>
      </c>
      <c r="C139" t="s">
        <v>3610</v>
      </c>
      <c r="D139" t="s">
        <v>1203</v>
      </c>
      <c r="E139" t="s">
        <v>19</v>
      </c>
      <c r="G139" t="s">
        <v>20</v>
      </c>
      <c r="H139">
        <v>29550</v>
      </c>
      <c r="I139">
        <v>25</v>
      </c>
      <c r="J139">
        <v>0</v>
      </c>
      <c r="O139" t="s">
        <v>21</v>
      </c>
      <c r="P139" t="s">
        <v>3934</v>
      </c>
    </row>
    <row r="140" spans="1:16" x14ac:dyDescent="0.3">
      <c r="A140" t="s">
        <v>3935</v>
      </c>
      <c r="C140" t="s">
        <v>3610</v>
      </c>
      <c r="D140" t="s">
        <v>404</v>
      </c>
      <c r="E140" t="s">
        <v>19</v>
      </c>
      <c r="F140" t="s">
        <v>1127</v>
      </c>
      <c r="G140" t="s">
        <v>20</v>
      </c>
      <c r="H140">
        <v>29202</v>
      </c>
      <c r="I140">
        <v>0</v>
      </c>
      <c r="J140">
        <v>0</v>
      </c>
      <c r="O140" t="s">
        <v>21</v>
      </c>
      <c r="P140" t="s">
        <v>3936</v>
      </c>
    </row>
    <row r="141" spans="1:16" x14ac:dyDescent="0.3">
      <c r="A141" t="s">
        <v>3937</v>
      </c>
      <c r="B141" s="1" t="s">
        <v>3938</v>
      </c>
      <c r="C141" t="s">
        <v>3610</v>
      </c>
      <c r="D141" t="s">
        <v>29</v>
      </c>
      <c r="E141" t="s">
        <v>1217</v>
      </c>
      <c r="F141" t="s">
        <v>3939</v>
      </c>
      <c r="G141" t="s">
        <v>20</v>
      </c>
      <c r="H141">
        <v>1100</v>
      </c>
      <c r="I141">
        <v>32.25</v>
      </c>
      <c r="J141">
        <v>1067.75</v>
      </c>
      <c r="O141" t="s">
        <v>21</v>
      </c>
      <c r="P141" t="s">
        <v>3940</v>
      </c>
    </row>
    <row r="142" spans="1:16" x14ac:dyDescent="0.3">
      <c r="A142" t="s">
        <v>3941</v>
      </c>
      <c r="C142" t="s">
        <v>3610</v>
      </c>
      <c r="D142" t="s">
        <v>408</v>
      </c>
      <c r="E142" t="s">
        <v>409</v>
      </c>
      <c r="G142" t="s">
        <v>20</v>
      </c>
      <c r="H142">
        <v>5000</v>
      </c>
      <c r="I142" s="1" t="s">
        <v>1275</v>
      </c>
      <c r="J142">
        <v>4973.125</v>
      </c>
      <c r="O142" t="s">
        <v>412</v>
      </c>
      <c r="P142" t="s">
        <v>3942</v>
      </c>
    </row>
    <row r="143" spans="1:16" x14ac:dyDescent="0.3">
      <c r="A143" t="s">
        <v>3943</v>
      </c>
      <c r="C143" t="s">
        <v>3610</v>
      </c>
      <c r="D143" t="s">
        <v>408</v>
      </c>
      <c r="E143" t="s">
        <v>409</v>
      </c>
      <c r="G143" t="s">
        <v>20</v>
      </c>
      <c r="H143">
        <v>5100</v>
      </c>
      <c r="I143">
        <v>27.412500000000001</v>
      </c>
      <c r="J143">
        <v>5072.5874999999996</v>
      </c>
      <c r="O143" t="s">
        <v>412</v>
      </c>
      <c r="P143" t="s">
        <v>3944</v>
      </c>
    </row>
    <row r="144" spans="1:16" x14ac:dyDescent="0.3">
      <c r="A144" t="s">
        <v>3945</v>
      </c>
      <c r="C144" t="s">
        <v>3610</v>
      </c>
      <c r="D144" t="s">
        <v>408</v>
      </c>
      <c r="E144" t="s">
        <v>409</v>
      </c>
      <c r="G144" t="s">
        <v>20</v>
      </c>
      <c r="H144">
        <v>3100</v>
      </c>
      <c r="I144">
        <v>16.662500000000001</v>
      </c>
      <c r="J144">
        <v>3083.3375000000001</v>
      </c>
      <c r="O144" t="s">
        <v>21</v>
      </c>
      <c r="P144" t="s">
        <v>3946</v>
      </c>
    </row>
    <row r="145" spans="1:16" x14ac:dyDescent="0.3">
      <c r="A145" t="s">
        <v>3947</v>
      </c>
      <c r="C145" t="s">
        <v>3610</v>
      </c>
      <c r="D145" t="s">
        <v>408</v>
      </c>
      <c r="E145" t="s">
        <v>409</v>
      </c>
      <c r="G145" t="s">
        <v>20</v>
      </c>
      <c r="H145">
        <v>3100</v>
      </c>
      <c r="I145">
        <v>16.662500000000001</v>
      </c>
      <c r="J145">
        <v>3083.3375000000001</v>
      </c>
      <c r="O145" t="s">
        <v>412</v>
      </c>
      <c r="P145" t="s">
        <v>3948</v>
      </c>
    </row>
    <row r="146" spans="1:16" x14ac:dyDescent="0.3">
      <c r="A146" t="s">
        <v>3949</v>
      </c>
      <c r="C146" t="s">
        <v>3610</v>
      </c>
      <c r="D146" t="s">
        <v>408</v>
      </c>
      <c r="E146" t="s">
        <v>409</v>
      </c>
      <c r="G146" t="s">
        <v>20</v>
      </c>
      <c r="H146">
        <v>5100</v>
      </c>
      <c r="I146">
        <v>27.412500000000001</v>
      </c>
      <c r="J146">
        <v>5072.5874999999996</v>
      </c>
      <c r="O146" t="s">
        <v>21</v>
      </c>
      <c r="P146" t="s">
        <v>3950</v>
      </c>
    </row>
    <row r="147" spans="1:16" x14ac:dyDescent="0.3">
      <c r="A147" t="e">
        <f>-slmg7H0sa5zJHBKFqoDW</f>
        <v>#NAME?</v>
      </c>
      <c r="C147" t="s">
        <v>3610</v>
      </c>
      <c r="D147" t="s">
        <v>408</v>
      </c>
      <c r="E147" t="s">
        <v>409</v>
      </c>
      <c r="G147" t="s">
        <v>20</v>
      </c>
      <c r="H147">
        <v>1600</v>
      </c>
      <c r="I147">
        <v>8.6</v>
      </c>
      <c r="J147">
        <v>1591.4</v>
      </c>
      <c r="O147" t="s">
        <v>21</v>
      </c>
      <c r="P147" t="s">
        <v>3951</v>
      </c>
    </row>
    <row r="148" spans="1:16" x14ac:dyDescent="0.3">
      <c r="A148" t="s">
        <v>3952</v>
      </c>
      <c r="B148" s="1" t="s">
        <v>3953</v>
      </c>
      <c r="C148" t="s">
        <v>3610</v>
      </c>
      <c r="D148" t="s">
        <v>29</v>
      </c>
      <c r="E148" t="s">
        <v>1217</v>
      </c>
      <c r="F148" t="s">
        <v>3954</v>
      </c>
      <c r="G148" t="s">
        <v>20</v>
      </c>
      <c r="H148">
        <v>3600</v>
      </c>
      <c r="I148">
        <v>32.25</v>
      </c>
      <c r="J148">
        <v>3567.75</v>
      </c>
      <c r="O148" t="s">
        <v>21</v>
      </c>
      <c r="P148" t="s">
        <v>3955</v>
      </c>
    </row>
    <row r="149" spans="1:16" x14ac:dyDescent="0.3">
      <c r="A149" t="s">
        <v>3956</v>
      </c>
      <c r="C149" t="s">
        <v>3610</v>
      </c>
      <c r="D149" t="s">
        <v>408</v>
      </c>
      <c r="E149" t="s">
        <v>409</v>
      </c>
      <c r="G149" t="s">
        <v>20</v>
      </c>
      <c r="H149">
        <v>2100</v>
      </c>
      <c r="I149">
        <v>11.2875</v>
      </c>
      <c r="J149">
        <v>2088.7125000000001</v>
      </c>
      <c r="O149" t="s">
        <v>21</v>
      </c>
      <c r="P149" t="s">
        <v>3957</v>
      </c>
    </row>
    <row r="150" spans="1:16" x14ac:dyDescent="0.3">
      <c r="A150" t="s">
        <v>3958</v>
      </c>
      <c r="C150" t="s">
        <v>3610</v>
      </c>
      <c r="D150" t="s">
        <v>408</v>
      </c>
      <c r="E150" t="s">
        <v>409</v>
      </c>
      <c r="G150" t="s">
        <v>20</v>
      </c>
      <c r="H150">
        <v>10200</v>
      </c>
      <c r="I150">
        <v>54.825000000000003</v>
      </c>
      <c r="J150">
        <v>10145.174999999999</v>
      </c>
      <c r="O150" t="s">
        <v>21</v>
      </c>
      <c r="P150" t="s">
        <v>3959</v>
      </c>
    </row>
    <row r="151" spans="1:16" x14ac:dyDescent="0.3">
      <c r="A151" t="s">
        <v>3960</v>
      </c>
      <c r="B151" s="1" t="s">
        <v>3961</v>
      </c>
      <c r="C151" t="s">
        <v>3610</v>
      </c>
      <c r="D151" t="s">
        <v>1203</v>
      </c>
      <c r="E151" t="s">
        <v>19</v>
      </c>
      <c r="G151" t="s">
        <v>20</v>
      </c>
      <c r="H151">
        <v>114500</v>
      </c>
      <c r="I151">
        <v>25</v>
      </c>
      <c r="J151">
        <v>0</v>
      </c>
      <c r="O151" t="s">
        <v>21</v>
      </c>
      <c r="P151" t="s">
        <v>3962</v>
      </c>
    </row>
    <row r="152" spans="1:16" x14ac:dyDescent="0.3">
      <c r="A152" t="s">
        <v>3963</v>
      </c>
      <c r="C152" t="s">
        <v>3610</v>
      </c>
      <c r="D152" t="s">
        <v>408</v>
      </c>
      <c r="E152" t="s">
        <v>409</v>
      </c>
      <c r="G152" t="s">
        <v>20</v>
      </c>
      <c r="H152">
        <v>2600</v>
      </c>
      <c r="I152">
        <v>13.975</v>
      </c>
      <c r="J152">
        <v>2586.0250000000001</v>
      </c>
      <c r="O152" t="s">
        <v>21</v>
      </c>
      <c r="P152" t="s">
        <v>3964</v>
      </c>
    </row>
    <row r="153" spans="1:16" x14ac:dyDescent="0.3">
      <c r="A153" t="s">
        <v>3965</v>
      </c>
      <c r="C153" t="s">
        <v>3610</v>
      </c>
      <c r="D153" t="s">
        <v>404</v>
      </c>
      <c r="E153" t="s">
        <v>19</v>
      </c>
      <c r="F153" t="s">
        <v>1138</v>
      </c>
      <c r="G153" t="s">
        <v>20</v>
      </c>
      <c r="H153">
        <v>36845</v>
      </c>
      <c r="I153">
        <v>0</v>
      </c>
      <c r="J153">
        <v>0</v>
      </c>
      <c r="O153" t="s">
        <v>21</v>
      </c>
      <c r="P153" t="s">
        <v>3966</v>
      </c>
    </row>
    <row r="154" spans="1:16" x14ac:dyDescent="0.3">
      <c r="A154" t="s">
        <v>3967</v>
      </c>
      <c r="C154" t="s">
        <v>3610</v>
      </c>
      <c r="D154" t="s">
        <v>408</v>
      </c>
      <c r="E154" t="s">
        <v>409</v>
      </c>
      <c r="G154" t="s">
        <v>20</v>
      </c>
      <c r="H154">
        <v>3500</v>
      </c>
      <c r="I154">
        <v>18.8125</v>
      </c>
      <c r="J154">
        <v>3481.1875</v>
      </c>
      <c r="O154" t="s">
        <v>21</v>
      </c>
      <c r="P154" t="s">
        <v>3968</v>
      </c>
    </row>
    <row r="155" spans="1:16" x14ac:dyDescent="0.3">
      <c r="A155" t="s">
        <v>3969</v>
      </c>
      <c r="B155" s="1" t="s">
        <v>3970</v>
      </c>
      <c r="C155" t="s">
        <v>3610</v>
      </c>
      <c r="D155" t="s">
        <v>29</v>
      </c>
      <c r="E155" t="s">
        <v>1217</v>
      </c>
      <c r="F155" t="s">
        <v>3971</v>
      </c>
      <c r="G155" t="s">
        <v>20</v>
      </c>
      <c r="H155">
        <v>2100</v>
      </c>
      <c r="I155">
        <v>32.25</v>
      </c>
      <c r="J155">
        <v>2067.75</v>
      </c>
      <c r="O155" t="s">
        <v>21</v>
      </c>
      <c r="P155" t="s">
        <v>3972</v>
      </c>
    </row>
    <row r="156" spans="1:16" x14ac:dyDescent="0.3">
      <c r="A156" t="s">
        <v>3973</v>
      </c>
      <c r="C156" t="s">
        <v>3610</v>
      </c>
      <c r="D156" t="s">
        <v>408</v>
      </c>
      <c r="E156" t="s">
        <v>409</v>
      </c>
      <c r="G156" t="s">
        <v>20</v>
      </c>
      <c r="H156">
        <v>3100</v>
      </c>
      <c r="I156">
        <v>16.662500000000001</v>
      </c>
      <c r="J156">
        <v>3083.3375000000001</v>
      </c>
      <c r="O156" t="s">
        <v>21</v>
      </c>
      <c r="P156" t="s">
        <v>3974</v>
      </c>
    </row>
    <row r="157" spans="1:16" x14ac:dyDescent="0.3">
      <c r="A157" t="s">
        <v>3975</v>
      </c>
      <c r="C157" t="s">
        <v>3610</v>
      </c>
      <c r="D157" t="s">
        <v>408</v>
      </c>
      <c r="E157" t="s">
        <v>409</v>
      </c>
      <c r="G157" t="s">
        <v>20</v>
      </c>
      <c r="H157">
        <v>3000</v>
      </c>
      <c r="I157" s="1" t="s">
        <v>1393</v>
      </c>
      <c r="J157">
        <v>2983.875</v>
      </c>
      <c r="O157" t="s">
        <v>412</v>
      </c>
      <c r="P157" t="s">
        <v>3976</v>
      </c>
    </row>
    <row r="158" spans="1:16" x14ac:dyDescent="0.3">
      <c r="A158" t="s">
        <v>3977</v>
      </c>
      <c r="B158" s="1" t="s">
        <v>3978</v>
      </c>
      <c r="C158" t="s">
        <v>3610</v>
      </c>
      <c r="D158" t="s">
        <v>29</v>
      </c>
      <c r="E158" t="s">
        <v>1217</v>
      </c>
      <c r="F158" t="s">
        <v>3979</v>
      </c>
      <c r="G158" t="s">
        <v>20</v>
      </c>
      <c r="H158">
        <v>4100</v>
      </c>
      <c r="I158">
        <v>32.25</v>
      </c>
      <c r="J158">
        <v>4067.75</v>
      </c>
      <c r="O158" t="s">
        <v>21</v>
      </c>
      <c r="P158" t="s">
        <v>3980</v>
      </c>
    </row>
    <row r="159" spans="1:16" x14ac:dyDescent="0.3">
      <c r="A159" t="s">
        <v>3981</v>
      </c>
      <c r="C159" t="s">
        <v>3610</v>
      </c>
      <c r="D159" t="s">
        <v>408</v>
      </c>
      <c r="E159" t="s">
        <v>409</v>
      </c>
      <c r="G159" t="s">
        <v>20</v>
      </c>
      <c r="H159">
        <v>4100</v>
      </c>
      <c r="I159">
        <v>22.037500000000001</v>
      </c>
      <c r="J159">
        <v>4077.9625000000001</v>
      </c>
      <c r="O159" t="s">
        <v>21</v>
      </c>
      <c r="P159" t="s">
        <v>3982</v>
      </c>
    </row>
    <row r="160" spans="1:16" x14ac:dyDescent="0.3">
      <c r="A160" t="s">
        <v>3983</v>
      </c>
      <c r="C160" t="s">
        <v>3610</v>
      </c>
      <c r="D160" t="s">
        <v>408</v>
      </c>
      <c r="E160" t="s">
        <v>409</v>
      </c>
      <c r="G160" t="s">
        <v>20</v>
      </c>
      <c r="H160">
        <v>1000</v>
      </c>
      <c r="I160">
        <v>5.375</v>
      </c>
      <c r="J160">
        <v>994.625</v>
      </c>
      <c r="O160" t="s">
        <v>21</v>
      </c>
      <c r="P160" t="s">
        <v>3984</v>
      </c>
    </row>
    <row r="161" spans="1:16" x14ac:dyDescent="0.3">
      <c r="A161" t="s">
        <v>3985</v>
      </c>
      <c r="B161" s="1" t="s">
        <v>3986</v>
      </c>
      <c r="C161" t="s">
        <v>3610</v>
      </c>
      <c r="D161" t="s">
        <v>29</v>
      </c>
      <c r="E161" t="s">
        <v>1217</v>
      </c>
      <c r="F161" t="s">
        <v>3987</v>
      </c>
      <c r="G161" t="s">
        <v>20</v>
      </c>
      <c r="H161">
        <v>1500</v>
      </c>
      <c r="I161">
        <v>32.25</v>
      </c>
      <c r="J161">
        <v>1467.75</v>
      </c>
      <c r="O161" t="s">
        <v>21</v>
      </c>
      <c r="P161" t="s">
        <v>3988</v>
      </c>
    </row>
    <row r="162" spans="1:16" x14ac:dyDescent="0.3">
      <c r="A162" t="s">
        <v>3989</v>
      </c>
      <c r="C162" t="s">
        <v>3610</v>
      </c>
      <c r="D162" t="s">
        <v>408</v>
      </c>
      <c r="E162" t="s">
        <v>409</v>
      </c>
      <c r="G162" t="s">
        <v>20</v>
      </c>
      <c r="H162">
        <v>10200</v>
      </c>
      <c r="I162">
        <v>54.825000000000003</v>
      </c>
      <c r="J162">
        <v>10145.174999999999</v>
      </c>
      <c r="O162" t="s">
        <v>21</v>
      </c>
      <c r="P162" t="s">
        <v>3990</v>
      </c>
    </row>
    <row r="163" spans="1:16" x14ac:dyDescent="0.3">
      <c r="A163" t="s">
        <v>3991</v>
      </c>
      <c r="C163" t="s">
        <v>3610</v>
      </c>
      <c r="D163" t="s">
        <v>408</v>
      </c>
      <c r="E163" t="s">
        <v>409</v>
      </c>
      <c r="G163" t="s">
        <v>20</v>
      </c>
      <c r="H163">
        <v>7500</v>
      </c>
      <c r="I163">
        <v>40.3125</v>
      </c>
      <c r="J163">
        <v>7459.6875</v>
      </c>
      <c r="O163" t="s">
        <v>21</v>
      </c>
      <c r="P163" t="s">
        <v>3992</v>
      </c>
    </row>
    <row r="164" spans="1:16" x14ac:dyDescent="0.3">
      <c r="A164" t="s">
        <v>3993</v>
      </c>
      <c r="C164" t="s">
        <v>3610</v>
      </c>
      <c r="D164" t="s">
        <v>404</v>
      </c>
      <c r="E164" t="s">
        <v>19</v>
      </c>
      <c r="F164" t="s">
        <v>2349</v>
      </c>
      <c r="G164" t="s">
        <v>20</v>
      </c>
      <c r="H164">
        <v>78118</v>
      </c>
      <c r="I164">
        <v>0</v>
      </c>
      <c r="J164">
        <v>0</v>
      </c>
      <c r="O164" t="s">
        <v>21</v>
      </c>
      <c r="P164" t="s">
        <v>3994</v>
      </c>
    </row>
    <row r="165" spans="1:16" x14ac:dyDescent="0.3">
      <c r="A165" t="s">
        <v>3995</v>
      </c>
      <c r="C165" t="s">
        <v>3610</v>
      </c>
      <c r="D165" t="s">
        <v>408</v>
      </c>
      <c r="E165" t="s">
        <v>409</v>
      </c>
      <c r="G165" t="s">
        <v>20</v>
      </c>
      <c r="H165">
        <v>46000</v>
      </c>
      <c r="I165">
        <v>107.5</v>
      </c>
      <c r="J165">
        <v>45892.5</v>
      </c>
      <c r="O165" t="s">
        <v>21</v>
      </c>
      <c r="P165" t="s">
        <v>3996</v>
      </c>
    </row>
    <row r="166" spans="1:16" x14ac:dyDescent="0.3">
      <c r="A166" t="s">
        <v>3997</v>
      </c>
      <c r="C166" t="s">
        <v>3610</v>
      </c>
      <c r="D166" t="s">
        <v>408</v>
      </c>
      <c r="E166" t="s">
        <v>409</v>
      </c>
      <c r="G166" t="s">
        <v>20</v>
      </c>
      <c r="H166">
        <v>31500</v>
      </c>
      <c r="I166">
        <v>107.5</v>
      </c>
      <c r="J166">
        <v>31392.5</v>
      </c>
      <c r="O166" t="s">
        <v>412</v>
      </c>
      <c r="P166" t="s">
        <v>3998</v>
      </c>
    </row>
    <row r="167" spans="1:16" x14ac:dyDescent="0.3">
      <c r="A167" t="s">
        <v>3999</v>
      </c>
      <c r="C167" t="s">
        <v>3610</v>
      </c>
      <c r="D167" t="s">
        <v>408</v>
      </c>
      <c r="E167" t="s">
        <v>409</v>
      </c>
      <c r="G167" t="s">
        <v>20</v>
      </c>
      <c r="H167">
        <v>32000</v>
      </c>
      <c r="I167">
        <v>107.5</v>
      </c>
      <c r="J167">
        <v>31892.5</v>
      </c>
      <c r="O167" t="s">
        <v>412</v>
      </c>
      <c r="P167" t="s">
        <v>4000</v>
      </c>
    </row>
    <row r="168" spans="1:16" x14ac:dyDescent="0.3">
      <c r="A168" t="s">
        <v>4001</v>
      </c>
      <c r="C168" t="s">
        <v>3610</v>
      </c>
      <c r="D168" t="s">
        <v>408</v>
      </c>
      <c r="E168" t="s">
        <v>409</v>
      </c>
      <c r="G168" t="s">
        <v>20</v>
      </c>
      <c r="H168">
        <v>5100</v>
      </c>
      <c r="I168">
        <v>27.412500000000001</v>
      </c>
      <c r="J168">
        <v>5072.5874999999996</v>
      </c>
      <c r="O168" t="s">
        <v>21</v>
      </c>
      <c r="P168" t="s">
        <v>4002</v>
      </c>
    </row>
    <row r="169" spans="1:16" x14ac:dyDescent="0.3">
      <c r="A169" t="s">
        <v>4003</v>
      </c>
      <c r="C169" t="s">
        <v>3610</v>
      </c>
      <c r="D169" t="s">
        <v>408</v>
      </c>
      <c r="E169" t="s">
        <v>409</v>
      </c>
      <c r="G169" t="s">
        <v>20</v>
      </c>
      <c r="H169">
        <v>17300</v>
      </c>
      <c r="I169">
        <v>92.987499999999997</v>
      </c>
      <c r="J169">
        <v>17207.012500000001</v>
      </c>
      <c r="O169" t="s">
        <v>21</v>
      </c>
      <c r="P169" t="s">
        <v>4004</v>
      </c>
    </row>
    <row r="170" spans="1:16" x14ac:dyDescent="0.3">
      <c r="A170" t="s">
        <v>4005</v>
      </c>
      <c r="C170" t="s">
        <v>3610</v>
      </c>
      <c r="D170" t="s">
        <v>408</v>
      </c>
      <c r="E170" t="s">
        <v>409</v>
      </c>
      <c r="G170" t="s">
        <v>20</v>
      </c>
      <c r="H170">
        <v>10000</v>
      </c>
      <c r="I170" s="1" t="s">
        <v>1432</v>
      </c>
      <c r="J170">
        <v>9946.25</v>
      </c>
      <c r="O170" t="s">
        <v>21</v>
      </c>
      <c r="P170" t="s">
        <v>4006</v>
      </c>
    </row>
    <row r="171" spans="1:16" x14ac:dyDescent="0.3">
      <c r="A171" t="s">
        <v>4007</v>
      </c>
      <c r="B171" s="1" t="s">
        <v>4008</v>
      </c>
      <c r="C171" t="s">
        <v>3610</v>
      </c>
      <c r="D171" t="s">
        <v>1203</v>
      </c>
      <c r="E171" t="s">
        <v>19</v>
      </c>
      <c r="G171" t="s">
        <v>20</v>
      </c>
      <c r="H171">
        <v>6150</v>
      </c>
      <c r="I171">
        <v>25</v>
      </c>
      <c r="J171">
        <v>0</v>
      </c>
      <c r="O171" t="s">
        <v>21</v>
      </c>
      <c r="P171" t="s">
        <v>4009</v>
      </c>
    </row>
    <row r="172" spans="1:16" x14ac:dyDescent="0.3">
      <c r="A172" t="s">
        <v>4010</v>
      </c>
      <c r="C172" t="s">
        <v>3610</v>
      </c>
      <c r="D172" t="s">
        <v>404</v>
      </c>
      <c r="E172" t="s">
        <v>19</v>
      </c>
      <c r="F172" t="s">
        <v>2367</v>
      </c>
      <c r="G172" t="s">
        <v>20</v>
      </c>
      <c r="H172">
        <v>6126</v>
      </c>
      <c r="I172">
        <v>0</v>
      </c>
      <c r="J172">
        <v>0</v>
      </c>
      <c r="O172" t="s">
        <v>21</v>
      </c>
      <c r="P172" t="s">
        <v>4011</v>
      </c>
    </row>
    <row r="173" spans="1:16" x14ac:dyDescent="0.3">
      <c r="A173" t="s">
        <v>4012</v>
      </c>
      <c r="B173" s="1" t="s">
        <v>4013</v>
      </c>
      <c r="C173" t="s">
        <v>3610</v>
      </c>
      <c r="D173" t="s">
        <v>1203</v>
      </c>
      <c r="E173" t="s">
        <v>19</v>
      </c>
      <c r="G173" t="s">
        <v>20</v>
      </c>
      <c r="H173">
        <v>46400</v>
      </c>
      <c r="I173">
        <v>25</v>
      </c>
      <c r="J173">
        <v>0</v>
      </c>
      <c r="O173" t="s">
        <v>21</v>
      </c>
      <c r="P173" t="s">
        <v>4014</v>
      </c>
    </row>
    <row r="174" spans="1:16" x14ac:dyDescent="0.3">
      <c r="A174" t="s">
        <v>4015</v>
      </c>
      <c r="C174" t="s">
        <v>3610</v>
      </c>
      <c r="D174" t="s">
        <v>408</v>
      </c>
      <c r="E174" t="s">
        <v>409</v>
      </c>
      <c r="G174" t="s">
        <v>20</v>
      </c>
      <c r="H174">
        <v>1600</v>
      </c>
      <c r="I174">
        <v>8.6</v>
      </c>
      <c r="J174">
        <v>1591.4</v>
      </c>
      <c r="O174" t="s">
        <v>21</v>
      </c>
      <c r="P174" t="s">
        <v>4016</v>
      </c>
    </row>
    <row r="175" spans="1:16" x14ac:dyDescent="0.3">
      <c r="A175" t="s">
        <v>4017</v>
      </c>
      <c r="C175" t="s">
        <v>3610</v>
      </c>
      <c r="D175" t="s">
        <v>408</v>
      </c>
      <c r="E175" t="s">
        <v>409</v>
      </c>
      <c r="G175" t="s">
        <v>20</v>
      </c>
      <c r="H175">
        <v>1600</v>
      </c>
      <c r="I175">
        <v>8.6</v>
      </c>
      <c r="J175">
        <v>1591.4</v>
      </c>
      <c r="O175" t="s">
        <v>412</v>
      </c>
      <c r="P175" t="s">
        <v>4018</v>
      </c>
    </row>
    <row r="176" spans="1:16" x14ac:dyDescent="0.3">
      <c r="A176" t="s">
        <v>4019</v>
      </c>
      <c r="B176" s="1" t="s">
        <v>4020</v>
      </c>
      <c r="C176" t="s">
        <v>3610</v>
      </c>
      <c r="D176" t="s">
        <v>29</v>
      </c>
      <c r="E176" t="s">
        <v>1217</v>
      </c>
      <c r="F176" t="s">
        <v>4021</v>
      </c>
      <c r="G176" t="s">
        <v>20</v>
      </c>
      <c r="H176">
        <v>1600</v>
      </c>
      <c r="I176">
        <v>32.25</v>
      </c>
      <c r="J176">
        <v>1567.75</v>
      </c>
      <c r="O176" t="s">
        <v>21</v>
      </c>
      <c r="P176" t="s">
        <v>4022</v>
      </c>
    </row>
    <row r="177" spans="1:16" x14ac:dyDescent="0.3">
      <c r="A177" t="s">
        <v>4023</v>
      </c>
      <c r="B177" s="1" t="s">
        <v>4024</v>
      </c>
      <c r="C177" t="s">
        <v>3610</v>
      </c>
      <c r="D177" t="s">
        <v>29</v>
      </c>
      <c r="E177" t="s">
        <v>1217</v>
      </c>
      <c r="F177" t="s">
        <v>4025</v>
      </c>
      <c r="G177" t="s">
        <v>20</v>
      </c>
      <c r="H177">
        <v>3000</v>
      </c>
      <c r="I177">
        <v>32.25</v>
      </c>
      <c r="J177">
        <v>2967.75</v>
      </c>
      <c r="O177" t="s">
        <v>21</v>
      </c>
      <c r="P177" t="s">
        <v>4026</v>
      </c>
    </row>
    <row r="178" spans="1:16" x14ac:dyDescent="0.3">
      <c r="A178" t="s">
        <v>4027</v>
      </c>
      <c r="C178" t="s">
        <v>3610</v>
      </c>
      <c r="D178" t="s">
        <v>404</v>
      </c>
      <c r="E178" t="s">
        <v>19</v>
      </c>
      <c r="F178" t="s">
        <v>1268</v>
      </c>
      <c r="G178" t="s">
        <v>20</v>
      </c>
      <c r="H178">
        <v>29479</v>
      </c>
      <c r="I178">
        <v>0</v>
      </c>
      <c r="J178">
        <v>0</v>
      </c>
      <c r="O178" t="s">
        <v>21</v>
      </c>
      <c r="P178" t="s">
        <v>4028</v>
      </c>
    </row>
    <row r="179" spans="1:16" x14ac:dyDescent="0.3">
      <c r="A179" t="s">
        <v>4029</v>
      </c>
      <c r="B179" s="1" t="s">
        <v>4030</v>
      </c>
      <c r="C179" t="s">
        <v>3610</v>
      </c>
      <c r="D179" t="s">
        <v>29</v>
      </c>
      <c r="E179" t="s">
        <v>1217</v>
      </c>
      <c r="F179" t="s">
        <v>4031</v>
      </c>
      <c r="G179" t="s">
        <v>20</v>
      </c>
      <c r="H179">
        <v>2100</v>
      </c>
      <c r="I179">
        <v>32.25</v>
      </c>
      <c r="J179">
        <v>2067.75</v>
      </c>
      <c r="O179" t="s">
        <v>21</v>
      </c>
      <c r="P179" t="s">
        <v>4032</v>
      </c>
    </row>
    <row r="180" spans="1:16" x14ac:dyDescent="0.3">
      <c r="A180" t="s">
        <v>4033</v>
      </c>
      <c r="B180" s="1" t="s">
        <v>4034</v>
      </c>
      <c r="C180" t="s">
        <v>3610</v>
      </c>
      <c r="D180" t="s">
        <v>29</v>
      </c>
      <c r="E180" t="s">
        <v>1217</v>
      </c>
      <c r="F180" t="s">
        <v>4035</v>
      </c>
      <c r="G180" t="s">
        <v>20</v>
      </c>
      <c r="H180">
        <v>1000</v>
      </c>
      <c r="I180">
        <v>32.25</v>
      </c>
      <c r="J180">
        <v>967.75</v>
      </c>
      <c r="O180" t="s">
        <v>21</v>
      </c>
      <c r="P180" t="s">
        <v>4036</v>
      </c>
    </row>
    <row r="181" spans="1:16" x14ac:dyDescent="0.3">
      <c r="A181" t="s">
        <v>4037</v>
      </c>
      <c r="B181" s="1" t="s">
        <v>4038</v>
      </c>
      <c r="C181" t="s">
        <v>3610</v>
      </c>
      <c r="D181" t="s">
        <v>29</v>
      </c>
      <c r="E181" t="s">
        <v>1217</v>
      </c>
      <c r="F181" t="s">
        <v>4039</v>
      </c>
      <c r="G181" t="s">
        <v>20</v>
      </c>
      <c r="H181">
        <v>1600</v>
      </c>
      <c r="I181">
        <v>32.25</v>
      </c>
      <c r="J181">
        <v>1567.75</v>
      </c>
      <c r="O181" t="s">
        <v>21</v>
      </c>
      <c r="P181" t="s">
        <v>4040</v>
      </c>
    </row>
    <row r="182" spans="1:16" x14ac:dyDescent="0.3">
      <c r="A182" t="s">
        <v>4041</v>
      </c>
      <c r="C182" t="s">
        <v>3610</v>
      </c>
      <c r="D182" t="s">
        <v>408</v>
      </c>
      <c r="E182" t="s">
        <v>409</v>
      </c>
      <c r="G182" t="s">
        <v>20</v>
      </c>
      <c r="H182">
        <v>10000</v>
      </c>
      <c r="I182" s="1" t="s">
        <v>1432</v>
      </c>
      <c r="J182">
        <v>9946.25</v>
      </c>
      <c r="O182" t="s">
        <v>21</v>
      </c>
      <c r="P182" t="s">
        <v>4042</v>
      </c>
    </row>
    <row r="183" spans="1:16" x14ac:dyDescent="0.3">
      <c r="A183" t="s">
        <v>4043</v>
      </c>
      <c r="B183" s="1" t="s">
        <v>4044</v>
      </c>
      <c r="C183" t="s">
        <v>3610</v>
      </c>
      <c r="D183" t="s">
        <v>29</v>
      </c>
      <c r="E183" t="s">
        <v>1217</v>
      </c>
      <c r="F183" t="s">
        <v>4045</v>
      </c>
      <c r="G183" t="s">
        <v>20</v>
      </c>
      <c r="H183">
        <v>8000</v>
      </c>
      <c r="I183">
        <v>32.25</v>
      </c>
      <c r="J183">
        <v>7967.75</v>
      </c>
      <c r="O183" t="s">
        <v>21</v>
      </c>
      <c r="P183" t="s">
        <v>4046</v>
      </c>
    </row>
    <row r="184" spans="1:16" x14ac:dyDescent="0.3">
      <c r="A184" t="s">
        <v>4047</v>
      </c>
      <c r="C184" t="s">
        <v>3610</v>
      </c>
      <c r="D184" t="s">
        <v>408</v>
      </c>
      <c r="E184" t="s">
        <v>409</v>
      </c>
      <c r="G184" t="s">
        <v>20</v>
      </c>
      <c r="H184">
        <v>7000</v>
      </c>
      <c r="I184">
        <v>37.625</v>
      </c>
      <c r="J184">
        <v>6962.375</v>
      </c>
      <c r="O184" t="s">
        <v>21</v>
      </c>
      <c r="P184" t="s">
        <v>4048</v>
      </c>
    </row>
    <row r="185" spans="1:16" x14ac:dyDescent="0.3">
      <c r="A185" t="s">
        <v>4049</v>
      </c>
      <c r="C185" t="s">
        <v>3610</v>
      </c>
      <c r="D185" t="s">
        <v>404</v>
      </c>
      <c r="E185" t="s">
        <v>19</v>
      </c>
      <c r="F185" t="s">
        <v>2687</v>
      </c>
      <c r="G185" t="s">
        <v>20</v>
      </c>
      <c r="H185">
        <v>14024</v>
      </c>
      <c r="I185">
        <v>0</v>
      </c>
      <c r="J185">
        <v>0</v>
      </c>
      <c r="O185" t="s">
        <v>21</v>
      </c>
      <c r="P185" t="s">
        <v>4050</v>
      </c>
    </row>
    <row r="186" spans="1:16" x14ac:dyDescent="0.3">
      <c r="A186" t="s">
        <v>4051</v>
      </c>
      <c r="C186" t="s">
        <v>3610</v>
      </c>
      <c r="D186" t="s">
        <v>408</v>
      </c>
      <c r="E186" t="s">
        <v>409</v>
      </c>
      <c r="G186" t="s">
        <v>20</v>
      </c>
      <c r="H186">
        <v>8000</v>
      </c>
      <c r="I186">
        <v>43</v>
      </c>
      <c r="J186">
        <v>7957</v>
      </c>
      <c r="O186" t="s">
        <v>21</v>
      </c>
      <c r="P186" t="s">
        <v>4052</v>
      </c>
    </row>
    <row r="187" spans="1:16" x14ac:dyDescent="0.3">
      <c r="A187" t="s">
        <v>4053</v>
      </c>
      <c r="C187" t="s">
        <v>3610</v>
      </c>
      <c r="D187" t="s">
        <v>408</v>
      </c>
      <c r="E187" t="s">
        <v>409</v>
      </c>
      <c r="G187" t="s">
        <v>20</v>
      </c>
      <c r="H187">
        <v>5000</v>
      </c>
      <c r="I187" s="1" t="s">
        <v>1275</v>
      </c>
      <c r="J187">
        <v>4973.125</v>
      </c>
      <c r="O187" t="s">
        <v>412</v>
      </c>
      <c r="P187" t="s">
        <v>4054</v>
      </c>
    </row>
    <row r="188" spans="1:16" x14ac:dyDescent="0.3">
      <c r="A188" t="s">
        <v>4055</v>
      </c>
      <c r="C188" t="s">
        <v>3610</v>
      </c>
      <c r="D188" t="s">
        <v>408</v>
      </c>
      <c r="E188" t="s">
        <v>409</v>
      </c>
      <c r="G188" t="s">
        <v>20</v>
      </c>
      <c r="H188">
        <v>7000</v>
      </c>
      <c r="I188">
        <v>37.625</v>
      </c>
      <c r="J188">
        <v>6962.375</v>
      </c>
      <c r="O188" t="s">
        <v>412</v>
      </c>
      <c r="P188" t="s">
        <v>4056</v>
      </c>
    </row>
    <row r="189" spans="1:16" x14ac:dyDescent="0.3">
      <c r="A189" t="s">
        <v>4057</v>
      </c>
      <c r="C189" t="s">
        <v>3610</v>
      </c>
      <c r="D189" t="s">
        <v>408</v>
      </c>
      <c r="E189" t="s">
        <v>409</v>
      </c>
      <c r="G189" t="s">
        <v>20</v>
      </c>
      <c r="H189">
        <v>5000</v>
      </c>
      <c r="I189" s="1" t="s">
        <v>1275</v>
      </c>
      <c r="J189">
        <v>4973.125</v>
      </c>
      <c r="O189" t="s">
        <v>21</v>
      </c>
      <c r="P189" t="s">
        <v>4058</v>
      </c>
    </row>
    <row r="190" spans="1:16" x14ac:dyDescent="0.3">
      <c r="A190" t="s">
        <v>4059</v>
      </c>
      <c r="C190" t="s">
        <v>3610</v>
      </c>
      <c r="D190" t="s">
        <v>408</v>
      </c>
      <c r="E190" t="s">
        <v>409</v>
      </c>
      <c r="G190" t="s">
        <v>20</v>
      </c>
      <c r="H190">
        <v>1100</v>
      </c>
      <c r="I190">
        <v>5.9124999999999996</v>
      </c>
      <c r="J190">
        <v>1094.0875000000001</v>
      </c>
      <c r="O190" t="s">
        <v>21</v>
      </c>
      <c r="P190" t="s">
        <v>4060</v>
      </c>
    </row>
    <row r="191" spans="1:16" x14ac:dyDescent="0.3">
      <c r="A191" t="s">
        <v>4061</v>
      </c>
      <c r="C191" t="s">
        <v>3610</v>
      </c>
      <c r="D191" t="s">
        <v>404</v>
      </c>
      <c r="E191" t="s">
        <v>19</v>
      </c>
      <c r="F191" t="s">
        <v>1168</v>
      </c>
      <c r="G191" t="s">
        <v>20</v>
      </c>
      <c r="H191">
        <v>2935</v>
      </c>
      <c r="I191">
        <v>0</v>
      </c>
      <c r="J191">
        <v>0</v>
      </c>
      <c r="O191" t="s">
        <v>21</v>
      </c>
      <c r="P191" t="s">
        <v>4062</v>
      </c>
    </row>
    <row r="192" spans="1:16" x14ac:dyDescent="0.3">
      <c r="A192" t="s">
        <v>4063</v>
      </c>
      <c r="B192" s="1" t="s">
        <v>4064</v>
      </c>
      <c r="C192" t="s">
        <v>3610</v>
      </c>
      <c r="D192" t="s">
        <v>29</v>
      </c>
      <c r="E192" t="s">
        <v>1217</v>
      </c>
      <c r="F192" t="s">
        <v>4065</v>
      </c>
      <c r="G192" t="s">
        <v>20</v>
      </c>
      <c r="H192">
        <v>2000</v>
      </c>
      <c r="I192">
        <v>32.25</v>
      </c>
      <c r="J192">
        <v>1967.75</v>
      </c>
      <c r="O192" t="s">
        <v>21</v>
      </c>
      <c r="P192" t="s">
        <v>4066</v>
      </c>
    </row>
    <row r="193" spans="1:16" x14ac:dyDescent="0.3">
      <c r="A193" t="s">
        <v>4067</v>
      </c>
      <c r="B193" s="1" t="s">
        <v>4068</v>
      </c>
      <c r="C193" t="s">
        <v>3610</v>
      </c>
      <c r="D193" t="s">
        <v>29</v>
      </c>
      <c r="E193" t="s">
        <v>1217</v>
      </c>
      <c r="F193" t="s">
        <v>4069</v>
      </c>
      <c r="G193" t="s">
        <v>20</v>
      </c>
      <c r="H193">
        <v>1000</v>
      </c>
      <c r="I193">
        <v>32.25</v>
      </c>
      <c r="J193">
        <v>967.75</v>
      </c>
      <c r="O193" t="s">
        <v>21</v>
      </c>
      <c r="P193" t="s">
        <v>4070</v>
      </c>
    </row>
    <row r="194" spans="1:16" x14ac:dyDescent="0.3">
      <c r="A194" t="s">
        <v>4071</v>
      </c>
      <c r="B194" s="1" t="s">
        <v>4072</v>
      </c>
      <c r="C194" t="s">
        <v>3610</v>
      </c>
      <c r="D194" t="s">
        <v>1203</v>
      </c>
      <c r="E194" t="s">
        <v>19</v>
      </c>
      <c r="G194" t="s">
        <v>20</v>
      </c>
      <c r="H194">
        <v>142000</v>
      </c>
      <c r="I194">
        <v>25</v>
      </c>
      <c r="J194">
        <v>0</v>
      </c>
      <c r="O194" t="s">
        <v>21</v>
      </c>
      <c r="P194" t="s">
        <v>4073</v>
      </c>
    </row>
    <row r="195" spans="1:16" x14ac:dyDescent="0.3">
      <c r="A195" t="s">
        <v>4074</v>
      </c>
      <c r="C195" t="s">
        <v>3610</v>
      </c>
      <c r="D195" t="s">
        <v>404</v>
      </c>
      <c r="E195" t="s">
        <v>19</v>
      </c>
      <c r="F195" t="s">
        <v>4075</v>
      </c>
      <c r="G195" t="s">
        <v>20</v>
      </c>
      <c r="H195">
        <v>53822</v>
      </c>
      <c r="I195">
        <v>0</v>
      </c>
      <c r="J195">
        <v>0</v>
      </c>
      <c r="O195" t="s">
        <v>21</v>
      </c>
      <c r="P195" t="s">
        <v>4076</v>
      </c>
    </row>
    <row r="196" spans="1:16" x14ac:dyDescent="0.3">
      <c r="A196" t="s">
        <v>4077</v>
      </c>
      <c r="C196" t="s">
        <v>3610</v>
      </c>
      <c r="D196" t="s">
        <v>408</v>
      </c>
      <c r="E196" t="s">
        <v>409</v>
      </c>
      <c r="G196" t="s">
        <v>20</v>
      </c>
      <c r="H196">
        <v>3100</v>
      </c>
      <c r="I196">
        <v>16.662500000000001</v>
      </c>
      <c r="J196">
        <v>3083.3375000000001</v>
      </c>
      <c r="O196" t="s">
        <v>21</v>
      </c>
      <c r="P196" t="s">
        <v>4078</v>
      </c>
    </row>
    <row r="197" spans="1:16" x14ac:dyDescent="0.3">
      <c r="A197" t="s">
        <v>4079</v>
      </c>
      <c r="C197" t="s">
        <v>3610</v>
      </c>
      <c r="D197" t="s">
        <v>408</v>
      </c>
      <c r="E197" t="s">
        <v>409</v>
      </c>
      <c r="G197" t="s">
        <v>20</v>
      </c>
      <c r="H197">
        <v>11000</v>
      </c>
      <c r="I197" s="1" t="s">
        <v>4080</v>
      </c>
      <c r="J197">
        <v>10940.875</v>
      </c>
      <c r="O197" t="s">
        <v>412</v>
      </c>
      <c r="P197" t="s">
        <v>4081</v>
      </c>
    </row>
    <row r="198" spans="1:16" x14ac:dyDescent="0.3">
      <c r="A198" t="s">
        <v>4082</v>
      </c>
      <c r="B198" s="1" t="s">
        <v>4083</v>
      </c>
      <c r="C198" t="s">
        <v>3610</v>
      </c>
      <c r="D198" t="s">
        <v>29</v>
      </c>
      <c r="E198" t="s">
        <v>1217</v>
      </c>
      <c r="F198" t="s">
        <v>4084</v>
      </c>
      <c r="G198" t="s">
        <v>20</v>
      </c>
      <c r="H198">
        <v>19900</v>
      </c>
      <c r="I198">
        <v>32.25</v>
      </c>
      <c r="J198">
        <v>19867.75</v>
      </c>
      <c r="O198" t="s">
        <v>21</v>
      </c>
      <c r="P198" t="s">
        <v>4085</v>
      </c>
    </row>
    <row r="199" spans="1:16" x14ac:dyDescent="0.3">
      <c r="A199" t="s">
        <v>4086</v>
      </c>
      <c r="B199" s="1" t="s">
        <v>4087</v>
      </c>
      <c r="C199" t="s">
        <v>3610</v>
      </c>
      <c r="D199" t="s">
        <v>29</v>
      </c>
      <c r="E199" t="s">
        <v>1217</v>
      </c>
      <c r="F199" t="s">
        <v>4088</v>
      </c>
      <c r="G199" t="s">
        <v>20</v>
      </c>
      <c r="H199">
        <v>18000</v>
      </c>
      <c r="I199">
        <v>32.25</v>
      </c>
      <c r="J199">
        <v>17967.75</v>
      </c>
      <c r="O199" t="s">
        <v>21</v>
      </c>
      <c r="P199" t="s">
        <v>4089</v>
      </c>
    </row>
    <row r="200" spans="1:16" x14ac:dyDescent="0.3">
      <c r="A200" t="s">
        <v>4090</v>
      </c>
      <c r="B200" s="1" t="s">
        <v>4091</v>
      </c>
      <c r="C200" t="s">
        <v>3610</v>
      </c>
      <c r="D200" t="s">
        <v>29</v>
      </c>
      <c r="E200" t="s">
        <v>1217</v>
      </c>
      <c r="F200" t="s">
        <v>4092</v>
      </c>
      <c r="G200" t="s">
        <v>20</v>
      </c>
      <c r="H200">
        <v>1000</v>
      </c>
      <c r="I200">
        <v>32.25</v>
      </c>
      <c r="J200">
        <v>967.75</v>
      </c>
      <c r="O200" t="s">
        <v>21</v>
      </c>
      <c r="P200" t="s">
        <v>4093</v>
      </c>
    </row>
    <row r="201" spans="1:16" x14ac:dyDescent="0.3">
      <c r="A201" t="s">
        <v>4094</v>
      </c>
      <c r="C201" t="s">
        <v>3610</v>
      </c>
      <c r="D201" t="s">
        <v>408</v>
      </c>
      <c r="E201" t="s">
        <v>409</v>
      </c>
      <c r="G201" t="s">
        <v>20</v>
      </c>
      <c r="H201">
        <v>8000</v>
      </c>
      <c r="I201">
        <v>43</v>
      </c>
      <c r="J201">
        <v>7957</v>
      </c>
      <c r="O201" t="s">
        <v>21</v>
      </c>
      <c r="P201" t="s">
        <v>4095</v>
      </c>
    </row>
    <row r="202" spans="1:16" x14ac:dyDescent="0.3">
      <c r="A202" t="s">
        <v>4096</v>
      </c>
      <c r="C202" t="s">
        <v>3610</v>
      </c>
      <c r="D202" t="s">
        <v>408</v>
      </c>
      <c r="E202" t="s">
        <v>409</v>
      </c>
      <c r="G202" t="s">
        <v>20</v>
      </c>
      <c r="H202">
        <v>1500</v>
      </c>
      <c r="I202" s="1" t="s">
        <v>1717</v>
      </c>
      <c r="J202">
        <v>1491.9375</v>
      </c>
      <c r="O202" t="s">
        <v>21</v>
      </c>
      <c r="P202" t="s">
        <v>4097</v>
      </c>
    </row>
    <row r="203" spans="1:16" x14ac:dyDescent="0.3">
      <c r="A203" t="s">
        <v>4098</v>
      </c>
      <c r="C203" t="s">
        <v>3610</v>
      </c>
      <c r="D203" t="s">
        <v>408</v>
      </c>
      <c r="E203" t="s">
        <v>409</v>
      </c>
      <c r="G203" t="s">
        <v>20</v>
      </c>
      <c r="H203">
        <v>2500</v>
      </c>
      <c r="I203" s="1" t="s">
        <v>1255</v>
      </c>
      <c r="J203">
        <v>2486.5625</v>
      </c>
      <c r="O203" t="s">
        <v>21</v>
      </c>
      <c r="P203" t="s">
        <v>4099</v>
      </c>
    </row>
    <row r="204" spans="1:16" x14ac:dyDescent="0.3">
      <c r="A204" t="s">
        <v>4100</v>
      </c>
      <c r="C204" t="s">
        <v>3610</v>
      </c>
      <c r="D204" t="s">
        <v>404</v>
      </c>
      <c r="E204" t="s">
        <v>19</v>
      </c>
      <c r="F204" t="s">
        <v>1278</v>
      </c>
      <c r="G204" t="s">
        <v>20</v>
      </c>
      <c r="H204">
        <v>19892</v>
      </c>
      <c r="I204">
        <v>0</v>
      </c>
      <c r="J204">
        <v>0</v>
      </c>
      <c r="O204" t="s">
        <v>21</v>
      </c>
      <c r="P204" t="s">
        <v>4101</v>
      </c>
    </row>
    <row r="205" spans="1:16" x14ac:dyDescent="0.3">
      <c r="A205" t="s">
        <v>4102</v>
      </c>
      <c r="C205" t="s">
        <v>3610</v>
      </c>
      <c r="D205" t="s">
        <v>408</v>
      </c>
      <c r="E205" t="s">
        <v>409</v>
      </c>
      <c r="G205" t="s">
        <v>20</v>
      </c>
      <c r="H205">
        <v>10000</v>
      </c>
      <c r="I205" s="1" t="s">
        <v>1432</v>
      </c>
      <c r="J205">
        <v>9946.25</v>
      </c>
      <c r="O205" t="s">
        <v>21</v>
      </c>
      <c r="P205" t="s">
        <v>4103</v>
      </c>
    </row>
    <row r="206" spans="1:16" x14ac:dyDescent="0.3">
      <c r="A206" t="s">
        <v>4104</v>
      </c>
      <c r="C206" t="s">
        <v>3610</v>
      </c>
      <c r="D206" t="s">
        <v>408</v>
      </c>
      <c r="E206" t="s">
        <v>409</v>
      </c>
      <c r="G206" t="s">
        <v>20</v>
      </c>
      <c r="H206">
        <v>10000</v>
      </c>
      <c r="I206" s="1" t="s">
        <v>1432</v>
      </c>
      <c r="J206">
        <v>9946.25</v>
      </c>
      <c r="O206" t="s">
        <v>21</v>
      </c>
      <c r="P206" t="s">
        <v>4105</v>
      </c>
    </row>
    <row r="207" spans="1:16" x14ac:dyDescent="0.3">
      <c r="A207" t="s">
        <v>4106</v>
      </c>
      <c r="C207" t="s">
        <v>3610</v>
      </c>
      <c r="D207" t="s">
        <v>408</v>
      </c>
      <c r="E207" t="s">
        <v>409</v>
      </c>
      <c r="G207" t="s">
        <v>20</v>
      </c>
      <c r="H207">
        <v>10200</v>
      </c>
      <c r="I207">
        <v>54.825000000000003</v>
      </c>
      <c r="J207">
        <v>10145.174999999999</v>
      </c>
      <c r="O207" t="s">
        <v>412</v>
      </c>
      <c r="P207" t="s">
        <v>4107</v>
      </c>
    </row>
    <row r="208" spans="1:16" x14ac:dyDescent="0.3">
      <c r="A208" t="s">
        <v>4108</v>
      </c>
      <c r="C208" t="s">
        <v>3610</v>
      </c>
      <c r="D208" t="s">
        <v>404</v>
      </c>
      <c r="E208" t="s">
        <v>19</v>
      </c>
      <c r="F208" t="s">
        <v>1185</v>
      </c>
      <c r="G208" t="s">
        <v>20</v>
      </c>
      <c r="H208">
        <v>43053</v>
      </c>
      <c r="I208">
        <v>0</v>
      </c>
      <c r="J208">
        <v>0</v>
      </c>
      <c r="O208" t="s">
        <v>21</v>
      </c>
      <c r="P208" t="s">
        <v>4109</v>
      </c>
    </row>
    <row r="209" spans="1:16" x14ac:dyDescent="0.3">
      <c r="A209" t="s">
        <v>4110</v>
      </c>
      <c r="C209" t="s">
        <v>3610</v>
      </c>
      <c r="D209" t="s">
        <v>408</v>
      </c>
      <c r="E209" t="s">
        <v>409</v>
      </c>
      <c r="G209" t="s">
        <v>20</v>
      </c>
      <c r="H209">
        <v>7200</v>
      </c>
      <c r="I209">
        <v>38.700000000000003</v>
      </c>
      <c r="J209">
        <v>7161.3</v>
      </c>
      <c r="O209" t="s">
        <v>21</v>
      </c>
      <c r="P209" t="s">
        <v>4111</v>
      </c>
    </row>
    <row r="210" spans="1:16" x14ac:dyDescent="0.3">
      <c r="A210" t="s">
        <v>4112</v>
      </c>
      <c r="C210" t="s">
        <v>3610</v>
      </c>
      <c r="D210" t="s">
        <v>408</v>
      </c>
      <c r="E210" t="s">
        <v>409</v>
      </c>
      <c r="G210" t="s">
        <v>20</v>
      </c>
      <c r="H210">
        <v>36000</v>
      </c>
      <c r="I210">
        <v>107.5</v>
      </c>
      <c r="J210">
        <v>35892.5</v>
      </c>
      <c r="O210" t="s">
        <v>21</v>
      </c>
      <c r="P210" t="s">
        <v>4113</v>
      </c>
    </row>
    <row r="211" spans="1:16" x14ac:dyDescent="0.3">
      <c r="A211" t="s">
        <v>4114</v>
      </c>
      <c r="C211" t="s">
        <v>3610</v>
      </c>
      <c r="D211" t="s">
        <v>408</v>
      </c>
      <c r="E211" t="s">
        <v>409</v>
      </c>
      <c r="G211" t="s">
        <v>20</v>
      </c>
      <c r="H211">
        <v>36400</v>
      </c>
      <c r="I211">
        <v>107.5</v>
      </c>
      <c r="J211">
        <v>36292.5</v>
      </c>
      <c r="O211" t="s">
        <v>412</v>
      </c>
      <c r="P211" t="s">
        <v>4115</v>
      </c>
    </row>
    <row r="212" spans="1:16" x14ac:dyDescent="0.3">
      <c r="A212" t="s">
        <v>4116</v>
      </c>
      <c r="C212" t="s">
        <v>3610</v>
      </c>
      <c r="D212" t="s">
        <v>404</v>
      </c>
      <c r="E212" t="s">
        <v>19</v>
      </c>
      <c r="F212" t="s">
        <v>1285</v>
      </c>
      <c r="G212" t="s">
        <v>20</v>
      </c>
      <c r="H212">
        <v>4077</v>
      </c>
      <c r="I212">
        <v>0</v>
      </c>
      <c r="J212">
        <v>0</v>
      </c>
      <c r="O212" t="s">
        <v>21</v>
      </c>
      <c r="P212" t="s">
        <v>4117</v>
      </c>
    </row>
    <row r="213" spans="1:16" x14ac:dyDescent="0.3">
      <c r="A213" t="s">
        <v>4118</v>
      </c>
      <c r="C213" t="s">
        <v>3610</v>
      </c>
      <c r="D213" t="s">
        <v>408</v>
      </c>
      <c r="E213" t="s">
        <v>409</v>
      </c>
      <c r="G213" t="s">
        <v>20</v>
      </c>
      <c r="H213">
        <v>2000</v>
      </c>
      <c r="I213">
        <v>10.75</v>
      </c>
      <c r="J213">
        <v>1989.25</v>
      </c>
      <c r="O213" t="s">
        <v>21</v>
      </c>
      <c r="P213" t="s">
        <v>4119</v>
      </c>
    </row>
    <row r="214" spans="1:16" x14ac:dyDescent="0.3">
      <c r="A214" t="s">
        <v>4120</v>
      </c>
      <c r="C214" t="s">
        <v>3610</v>
      </c>
      <c r="D214" t="s">
        <v>408</v>
      </c>
      <c r="E214" t="s">
        <v>409</v>
      </c>
      <c r="G214" t="s">
        <v>20</v>
      </c>
      <c r="H214">
        <v>2100</v>
      </c>
      <c r="I214">
        <v>11.2875</v>
      </c>
      <c r="J214">
        <v>2088.7125000000001</v>
      </c>
      <c r="O214" t="s">
        <v>21</v>
      </c>
      <c r="P214" t="s">
        <v>4121</v>
      </c>
    </row>
    <row r="215" spans="1:16" x14ac:dyDescent="0.3">
      <c r="A215" t="s">
        <v>4122</v>
      </c>
      <c r="C215" t="s">
        <v>3610</v>
      </c>
      <c r="D215" t="s">
        <v>404</v>
      </c>
      <c r="E215" t="s">
        <v>19</v>
      </c>
      <c r="F215" t="s">
        <v>4123</v>
      </c>
      <c r="G215" t="s">
        <v>20</v>
      </c>
      <c r="H215">
        <v>21185</v>
      </c>
      <c r="I215">
        <v>0</v>
      </c>
      <c r="J215">
        <v>0</v>
      </c>
      <c r="O215" t="s">
        <v>21</v>
      </c>
      <c r="P215" t="s">
        <v>4124</v>
      </c>
    </row>
    <row r="216" spans="1:16" x14ac:dyDescent="0.3">
      <c r="A216" t="s">
        <v>4125</v>
      </c>
      <c r="C216" t="s">
        <v>3610</v>
      </c>
      <c r="D216" t="s">
        <v>408</v>
      </c>
      <c r="E216" t="s">
        <v>409</v>
      </c>
      <c r="G216" t="s">
        <v>20</v>
      </c>
      <c r="H216">
        <v>18000</v>
      </c>
      <c r="I216">
        <v>96.75</v>
      </c>
      <c r="J216">
        <v>17903.25</v>
      </c>
      <c r="O216" t="s">
        <v>412</v>
      </c>
      <c r="P216" t="s">
        <v>4126</v>
      </c>
    </row>
    <row r="217" spans="1:16" x14ac:dyDescent="0.3">
      <c r="A217" t="s">
        <v>4127</v>
      </c>
      <c r="C217" t="s">
        <v>3610</v>
      </c>
      <c r="D217" t="s">
        <v>408</v>
      </c>
      <c r="E217" t="s">
        <v>409</v>
      </c>
      <c r="G217" t="s">
        <v>20</v>
      </c>
      <c r="H217">
        <v>19000</v>
      </c>
      <c r="I217">
        <v>102.125</v>
      </c>
      <c r="J217">
        <v>18897.875</v>
      </c>
      <c r="O217" t="s">
        <v>412</v>
      </c>
      <c r="P217" t="s">
        <v>4128</v>
      </c>
    </row>
    <row r="218" spans="1:16" x14ac:dyDescent="0.3">
      <c r="A218" t="s">
        <v>4129</v>
      </c>
      <c r="C218" t="s">
        <v>3610</v>
      </c>
      <c r="D218" t="s">
        <v>408</v>
      </c>
      <c r="E218" t="s">
        <v>409</v>
      </c>
      <c r="G218" t="s">
        <v>20</v>
      </c>
      <c r="H218">
        <v>4600</v>
      </c>
      <c r="I218">
        <v>24.725000000000001</v>
      </c>
      <c r="J218">
        <v>4575.2749999999996</v>
      </c>
      <c r="O218" t="s">
        <v>21</v>
      </c>
      <c r="P218" t="s">
        <v>4130</v>
      </c>
    </row>
    <row r="219" spans="1:16" x14ac:dyDescent="0.3">
      <c r="A219" t="s">
        <v>4131</v>
      </c>
      <c r="C219" t="s">
        <v>3610</v>
      </c>
      <c r="D219" t="s">
        <v>408</v>
      </c>
      <c r="E219" t="s">
        <v>409</v>
      </c>
      <c r="G219" t="s">
        <v>20</v>
      </c>
      <c r="H219">
        <v>2600</v>
      </c>
      <c r="I219">
        <v>13.975</v>
      </c>
      <c r="J219">
        <v>2586.0250000000001</v>
      </c>
      <c r="O219" t="s">
        <v>21</v>
      </c>
      <c r="P219" t="s">
        <v>4132</v>
      </c>
    </row>
    <row r="220" spans="1:16" x14ac:dyDescent="0.3">
      <c r="A220" t="s">
        <v>4133</v>
      </c>
      <c r="C220" t="s">
        <v>3610</v>
      </c>
      <c r="D220" t="s">
        <v>408</v>
      </c>
      <c r="E220" t="s">
        <v>409</v>
      </c>
      <c r="G220" t="s">
        <v>20</v>
      </c>
      <c r="H220">
        <v>10000</v>
      </c>
      <c r="I220" s="1" t="s">
        <v>1432</v>
      </c>
      <c r="J220">
        <v>9946.25</v>
      </c>
      <c r="O220" t="s">
        <v>21</v>
      </c>
      <c r="P220" t="s">
        <v>4134</v>
      </c>
    </row>
    <row r="221" spans="1:16" x14ac:dyDescent="0.3">
      <c r="A221" t="s">
        <v>4135</v>
      </c>
      <c r="C221" t="s">
        <v>3610</v>
      </c>
      <c r="D221" t="s">
        <v>408</v>
      </c>
      <c r="E221" t="s">
        <v>409</v>
      </c>
      <c r="G221" t="s">
        <v>20</v>
      </c>
      <c r="H221">
        <v>4100</v>
      </c>
      <c r="I221">
        <v>22.037500000000001</v>
      </c>
      <c r="J221">
        <v>4077.9625000000001</v>
      </c>
      <c r="O221" t="s">
        <v>21</v>
      </c>
      <c r="P221" t="s">
        <v>4136</v>
      </c>
    </row>
    <row r="222" spans="1:16" x14ac:dyDescent="0.3">
      <c r="A222" t="s">
        <v>4137</v>
      </c>
      <c r="C222" t="s">
        <v>3610</v>
      </c>
      <c r="D222" t="s">
        <v>18</v>
      </c>
      <c r="E222" t="s">
        <v>19</v>
      </c>
      <c r="G222" t="s">
        <v>20</v>
      </c>
      <c r="H222">
        <v>12921.5</v>
      </c>
      <c r="I222">
        <v>0</v>
      </c>
      <c r="J222">
        <v>12921.5</v>
      </c>
      <c r="O222" t="s">
        <v>21</v>
      </c>
      <c r="P222" t="s">
        <v>4138</v>
      </c>
    </row>
    <row r="223" spans="1:16" x14ac:dyDescent="0.3">
      <c r="A223" t="s">
        <v>4139</v>
      </c>
      <c r="C223" t="s">
        <v>3610</v>
      </c>
      <c r="D223" t="s">
        <v>18</v>
      </c>
      <c r="E223" t="s">
        <v>19</v>
      </c>
      <c r="G223" t="s">
        <v>20</v>
      </c>
      <c r="H223">
        <v>12900</v>
      </c>
      <c r="I223">
        <v>0</v>
      </c>
      <c r="J223">
        <v>12900</v>
      </c>
      <c r="O223" t="s">
        <v>21</v>
      </c>
      <c r="P223" t="s">
        <v>4140</v>
      </c>
    </row>
    <row r="224" spans="1:16" x14ac:dyDescent="0.3">
      <c r="A224" t="s">
        <v>4141</v>
      </c>
      <c r="C224" t="s">
        <v>3610</v>
      </c>
      <c r="D224" t="s">
        <v>18</v>
      </c>
      <c r="E224" t="s">
        <v>19</v>
      </c>
      <c r="G224" t="s">
        <v>20</v>
      </c>
      <c r="H224">
        <v>12900</v>
      </c>
      <c r="I224">
        <v>0</v>
      </c>
      <c r="J224">
        <v>12900</v>
      </c>
      <c r="O224" t="s">
        <v>21</v>
      </c>
      <c r="P224" t="s">
        <v>4142</v>
      </c>
    </row>
    <row r="225" spans="1:16" x14ac:dyDescent="0.3">
      <c r="A225" t="s">
        <v>4143</v>
      </c>
      <c r="C225" t="s">
        <v>3610</v>
      </c>
      <c r="D225" t="s">
        <v>404</v>
      </c>
      <c r="E225" t="s">
        <v>19</v>
      </c>
      <c r="F225" t="s">
        <v>4144</v>
      </c>
      <c r="G225" t="s">
        <v>20</v>
      </c>
      <c r="H225">
        <v>12930</v>
      </c>
      <c r="I225">
        <v>0</v>
      </c>
      <c r="J225">
        <v>0</v>
      </c>
      <c r="O225" t="s">
        <v>21</v>
      </c>
      <c r="P225" t="s">
        <v>4145</v>
      </c>
    </row>
    <row r="226" spans="1:16" x14ac:dyDescent="0.3">
      <c r="A226" t="s">
        <v>4146</v>
      </c>
      <c r="C226" t="s">
        <v>3610</v>
      </c>
      <c r="D226" t="s">
        <v>408</v>
      </c>
      <c r="E226" t="s">
        <v>409</v>
      </c>
      <c r="G226" t="s">
        <v>20</v>
      </c>
      <c r="H226">
        <v>5000</v>
      </c>
      <c r="I226" s="1" t="s">
        <v>1275</v>
      </c>
      <c r="J226">
        <v>4973.125</v>
      </c>
      <c r="O226" t="s">
        <v>21</v>
      </c>
      <c r="P226" t="s">
        <v>4147</v>
      </c>
    </row>
    <row r="227" spans="1:16" x14ac:dyDescent="0.3">
      <c r="A227" t="s">
        <v>4148</v>
      </c>
      <c r="C227" t="s">
        <v>3610</v>
      </c>
      <c r="D227" t="s">
        <v>408</v>
      </c>
      <c r="E227" t="s">
        <v>409</v>
      </c>
      <c r="G227" t="s">
        <v>20</v>
      </c>
      <c r="H227">
        <v>8000</v>
      </c>
      <c r="I227">
        <v>43</v>
      </c>
      <c r="J227">
        <v>7957</v>
      </c>
      <c r="O227" t="s">
        <v>21</v>
      </c>
      <c r="P227" t="s">
        <v>4149</v>
      </c>
    </row>
    <row r="228" spans="1:16" x14ac:dyDescent="0.3">
      <c r="A228" t="s">
        <v>4150</v>
      </c>
      <c r="C228" t="s">
        <v>3610</v>
      </c>
      <c r="D228" t="s">
        <v>18</v>
      </c>
      <c r="E228" t="s">
        <v>19</v>
      </c>
      <c r="G228" t="s">
        <v>20</v>
      </c>
      <c r="H228">
        <v>17421.5</v>
      </c>
      <c r="I228">
        <v>0</v>
      </c>
      <c r="J228">
        <v>17421.5</v>
      </c>
      <c r="O228" t="s">
        <v>21</v>
      </c>
      <c r="P228" t="s">
        <v>4151</v>
      </c>
    </row>
    <row r="229" spans="1:16" x14ac:dyDescent="0.3">
      <c r="A229" t="s">
        <v>4152</v>
      </c>
      <c r="C229" t="s">
        <v>3610</v>
      </c>
      <c r="D229" t="s">
        <v>18</v>
      </c>
      <c r="E229" t="s">
        <v>19</v>
      </c>
      <c r="G229" t="s">
        <v>20</v>
      </c>
      <c r="H229">
        <v>17500</v>
      </c>
      <c r="I229">
        <v>0</v>
      </c>
      <c r="J229">
        <v>17500</v>
      </c>
      <c r="O229" t="s">
        <v>21</v>
      </c>
      <c r="P229" t="s">
        <v>4153</v>
      </c>
    </row>
    <row r="230" spans="1:16" x14ac:dyDescent="0.3">
      <c r="A230" t="s">
        <v>4154</v>
      </c>
      <c r="C230" t="s">
        <v>3610</v>
      </c>
      <c r="D230" t="s">
        <v>18</v>
      </c>
      <c r="E230" t="s">
        <v>19</v>
      </c>
      <c r="G230" t="s">
        <v>20</v>
      </c>
      <c r="H230">
        <v>17500</v>
      </c>
      <c r="I230">
        <v>0</v>
      </c>
      <c r="J230">
        <v>17500</v>
      </c>
      <c r="O230" t="s">
        <v>21</v>
      </c>
      <c r="P230" t="s">
        <v>4155</v>
      </c>
    </row>
    <row r="231" spans="1:16" x14ac:dyDescent="0.3">
      <c r="A231" t="s">
        <v>4156</v>
      </c>
      <c r="C231" t="s">
        <v>3610</v>
      </c>
      <c r="D231" t="s">
        <v>404</v>
      </c>
      <c r="E231" t="s">
        <v>19</v>
      </c>
      <c r="F231" t="s">
        <v>4157</v>
      </c>
      <c r="G231" t="s">
        <v>20</v>
      </c>
      <c r="H231">
        <v>17505</v>
      </c>
      <c r="I231">
        <v>0</v>
      </c>
      <c r="J231">
        <v>0</v>
      </c>
      <c r="O231" t="s">
        <v>21</v>
      </c>
      <c r="P231" t="s">
        <v>4158</v>
      </c>
    </row>
    <row r="232" spans="1:16" x14ac:dyDescent="0.3">
      <c r="A232" t="s">
        <v>4159</v>
      </c>
      <c r="C232" t="s">
        <v>3610</v>
      </c>
      <c r="D232" t="s">
        <v>408</v>
      </c>
      <c r="E232" t="s">
        <v>409</v>
      </c>
      <c r="G232" t="s">
        <v>20</v>
      </c>
      <c r="H232">
        <v>2100</v>
      </c>
      <c r="I232">
        <v>11.2875</v>
      </c>
      <c r="J232">
        <v>2088.7125000000001</v>
      </c>
      <c r="O232" t="s">
        <v>21</v>
      </c>
      <c r="P232" t="s">
        <v>4160</v>
      </c>
    </row>
    <row r="233" spans="1:16" x14ac:dyDescent="0.3">
      <c r="A233" t="s">
        <v>4161</v>
      </c>
      <c r="C233" t="s">
        <v>3610</v>
      </c>
      <c r="D233" t="s">
        <v>408</v>
      </c>
      <c r="E233" t="s">
        <v>409</v>
      </c>
      <c r="G233" t="s">
        <v>20</v>
      </c>
      <c r="H233">
        <v>14500</v>
      </c>
      <c r="I233">
        <v>77.9375</v>
      </c>
      <c r="J233">
        <v>14422.0625</v>
      </c>
      <c r="O233" t="s">
        <v>21</v>
      </c>
      <c r="P233" t="s">
        <v>4162</v>
      </c>
    </row>
    <row r="234" spans="1:16" x14ac:dyDescent="0.3">
      <c r="A234" t="s">
        <v>4163</v>
      </c>
      <c r="C234" t="s">
        <v>3610</v>
      </c>
      <c r="D234" t="s">
        <v>408</v>
      </c>
      <c r="E234" t="s">
        <v>409</v>
      </c>
      <c r="G234" t="s">
        <v>20</v>
      </c>
      <c r="H234">
        <v>1000</v>
      </c>
      <c r="I234">
        <v>5.375</v>
      </c>
      <c r="J234">
        <v>994.625</v>
      </c>
      <c r="O234" t="s">
        <v>21</v>
      </c>
      <c r="P234" t="s">
        <v>4164</v>
      </c>
    </row>
    <row r="235" spans="1:16" x14ac:dyDescent="0.3">
      <c r="A235" t="s">
        <v>4165</v>
      </c>
      <c r="C235" t="s">
        <v>3610</v>
      </c>
      <c r="D235" t="s">
        <v>18</v>
      </c>
      <c r="E235" t="s">
        <v>19</v>
      </c>
      <c r="G235" t="s">
        <v>20</v>
      </c>
      <c r="H235">
        <v>1121.5</v>
      </c>
      <c r="I235">
        <v>0</v>
      </c>
      <c r="J235">
        <v>1121.5</v>
      </c>
      <c r="O235" t="s">
        <v>21</v>
      </c>
      <c r="P235" t="s">
        <v>4166</v>
      </c>
    </row>
    <row r="236" spans="1:16" x14ac:dyDescent="0.3">
      <c r="A236" t="s">
        <v>4167</v>
      </c>
      <c r="C236" t="s">
        <v>3610</v>
      </c>
      <c r="D236" t="s">
        <v>18</v>
      </c>
      <c r="E236" t="s">
        <v>19</v>
      </c>
      <c r="G236" t="s">
        <v>20</v>
      </c>
      <c r="H236">
        <v>1100</v>
      </c>
      <c r="I236">
        <v>0</v>
      </c>
      <c r="J236">
        <v>1100</v>
      </c>
      <c r="O236" t="s">
        <v>21</v>
      </c>
      <c r="P236" t="s">
        <v>4168</v>
      </c>
    </row>
    <row r="237" spans="1:16" x14ac:dyDescent="0.3">
      <c r="A237" t="s">
        <v>4169</v>
      </c>
      <c r="C237" t="s">
        <v>3610</v>
      </c>
      <c r="D237" t="s">
        <v>18</v>
      </c>
      <c r="E237" t="s">
        <v>19</v>
      </c>
      <c r="G237" t="s">
        <v>20</v>
      </c>
      <c r="H237">
        <v>1100</v>
      </c>
      <c r="I237">
        <v>0</v>
      </c>
      <c r="J237">
        <v>1100</v>
      </c>
      <c r="O237" t="s">
        <v>21</v>
      </c>
      <c r="P237" t="s">
        <v>4170</v>
      </c>
    </row>
    <row r="238" spans="1:16" x14ac:dyDescent="0.3">
      <c r="A238" t="s">
        <v>4171</v>
      </c>
      <c r="C238" t="s">
        <v>3610</v>
      </c>
      <c r="D238" t="s">
        <v>404</v>
      </c>
      <c r="E238" t="s">
        <v>19</v>
      </c>
      <c r="F238" t="s">
        <v>2393</v>
      </c>
      <c r="G238" t="s">
        <v>20</v>
      </c>
      <c r="H238">
        <v>1094</v>
      </c>
      <c r="I238">
        <v>0</v>
      </c>
      <c r="J238">
        <v>0</v>
      </c>
      <c r="O238" t="s">
        <v>21</v>
      </c>
      <c r="P238" t="s">
        <v>4172</v>
      </c>
    </row>
    <row r="239" spans="1:16" x14ac:dyDescent="0.3">
      <c r="A239" t="s">
        <v>4173</v>
      </c>
      <c r="C239" t="s">
        <v>3610</v>
      </c>
      <c r="D239" t="s">
        <v>408</v>
      </c>
      <c r="E239" t="s">
        <v>409</v>
      </c>
      <c r="G239" t="s">
        <v>20</v>
      </c>
      <c r="H239">
        <v>1100</v>
      </c>
      <c r="I239">
        <v>5.9124999999999996</v>
      </c>
      <c r="J239">
        <v>1094.0875000000001</v>
      </c>
      <c r="O239" t="s">
        <v>21</v>
      </c>
      <c r="P239" t="s">
        <v>4174</v>
      </c>
    </row>
    <row r="240" spans="1:16" x14ac:dyDescent="0.3">
      <c r="A240" t="s">
        <v>4175</v>
      </c>
      <c r="C240" t="s">
        <v>3610</v>
      </c>
      <c r="D240" t="s">
        <v>408</v>
      </c>
      <c r="E240" t="s">
        <v>409</v>
      </c>
      <c r="G240" t="s">
        <v>20</v>
      </c>
      <c r="H240">
        <v>1100</v>
      </c>
      <c r="I240">
        <v>5.9124999999999996</v>
      </c>
      <c r="J240">
        <v>1094.0875000000001</v>
      </c>
      <c r="O240" t="s">
        <v>412</v>
      </c>
      <c r="P240" t="s">
        <v>4176</v>
      </c>
    </row>
    <row r="241" spans="1:16" x14ac:dyDescent="0.3">
      <c r="A241" t="s">
        <v>4177</v>
      </c>
      <c r="C241" t="s">
        <v>3610</v>
      </c>
      <c r="D241" t="s">
        <v>408</v>
      </c>
      <c r="E241" t="s">
        <v>409</v>
      </c>
      <c r="G241" t="s">
        <v>20</v>
      </c>
      <c r="H241">
        <v>600</v>
      </c>
      <c r="I241" s="1" t="s">
        <v>4178</v>
      </c>
      <c r="J241">
        <v>596.77499999999998</v>
      </c>
      <c r="O241" t="s">
        <v>412</v>
      </c>
      <c r="P241" t="s">
        <v>4179</v>
      </c>
    </row>
    <row r="242" spans="1:16" x14ac:dyDescent="0.3">
      <c r="A242" t="s">
        <v>4180</v>
      </c>
      <c r="C242" t="s">
        <v>3610</v>
      </c>
      <c r="D242" t="s">
        <v>408</v>
      </c>
      <c r="E242" t="s">
        <v>409</v>
      </c>
      <c r="G242" t="s">
        <v>20</v>
      </c>
      <c r="H242">
        <v>700</v>
      </c>
      <c r="I242">
        <v>3.7625000000000002</v>
      </c>
      <c r="J242">
        <v>696.23749999999995</v>
      </c>
      <c r="O242" t="s">
        <v>412</v>
      </c>
      <c r="P242" t="s">
        <v>4181</v>
      </c>
    </row>
    <row r="243" spans="1:16" x14ac:dyDescent="0.3">
      <c r="A243" t="s">
        <v>4182</v>
      </c>
      <c r="C243" t="s">
        <v>3610</v>
      </c>
      <c r="D243" t="s">
        <v>408</v>
      </c>
      <c r="E243" t="s">
        <v>409</v>
      </c>
      <c r="G243" t="s">
        <v>20</v>
      </c>
      <c r="H243">
        <v>700</v>
      </c>
      <c r="I243">
        <v>3.7625000000000002</v>
      </c>
      <c r="J243">
        <v>696.23749999999995</v>
      </c>
      <c r="O243" t="s">
        <v>412</v>
      </c>
      <c r="P243" t="s">
        <v>4183</v>
      </c>
    </row>
    <row r="244" spans="1:16" x14ac:dyDescent="0.3">
      <c r="A244" t="s">
        <v>4184</v>
      </c>
      <c r="C244" t="s">
        <v>3610</v>
      </c>
      <c r="D244" t="s">
        <v>18</v>
      </c>
      <c r="E244" t="s">
        <v>19</v>
      </c>
      <c r="G244" t="s">
        <v>20</v>
      </c>
      <c r="H244">
        <v>1421.5</v>
      </c>
      <c r="I244">
        <v>0</v>
      </c>
      <c r="J244">
        <v>1421.5</v>
      </c>
      <c r="O244" t="s">
        <v>21</v>
      </c>
      <c r="P244" t="s">
        <v>4185</v>
      </c>
    </row>
    <row r="245" spans="1:16" x14ac:dyDescent="0.3">
      <c r="A245" t="s">
        <v>4186</v>
      </c>
      <c r="C245" t="s">
        <v>3610</v>
      </c>
      <c r="D245" t="s">
        <v>18</v>
      </c>
      <c r="E245" t="s">
        <v>19</v>
      </c>
      <c r="G245" t="s">
        <v>20</v>
      </c>
      <c r="H245">
        <v>1450</v>
      </c>
      <c r="I245">
        <v>0</v>
      </c>
      <c r="J245">
        <v>1450</v>
      </c>
      <c r="O245" t="s">
        <v>21</v>
      </c>
      <c r="P245" t="s">
        <v>4187</v>
      </c>
    </row>
    <row r="246" spans="1:16" x14ac:dyDescent="0.3">
      <c r="A246" t="s">
        <v>4188</v>
      </c>
      <c r="C246" t="s">
        <v>3610</v>
      </c>
      <c r="D246" t="s">
        <v>18</v>
      </c>
      <c r="E246" t="s">
        <v>19</v>
      </c>
      <c r="G246" t="s">
        <v>20</v>
      </c>
      <c r="H246">
        <v>1450</v>
      </c>
      <c r="I246">
        <v>0</v>
      </c>
      <c r="J246">
        <v>1450</v>
      </c>
      <c r="O246" t="s">
        <v>21</v>
      </c>
      <c r="P246" t="s">
        <v>4189</v>
      </c>
    </row>
    <row r="247" spans="1:16" x14ac:dyDescent="0.3">
      <c r="A247" t="s">
        <v>4190</v>
      </c>
      <c r="C247" t="s">
        <v>3610</v>
      </c>
      <c r="D247" t="s">
        <v>404</v>
      </c>
      <c r="E247" t="s">
        <v>19</v>
      </c>
      <c r="F247" t="s">
        <v>4191</v>
      </c>
      <c r="G247" t="s">
        <v>20</v>
      </c>
      <c r="H247">
        <v>497</v>
      </c>
      <c r="I247">
        <v>0</v>
      </c>
      <c r="J247">
        <v>0</v>
      </c>
      <c r="O247" t="s">
        <v>21</v>
      </c>
      <c r="P247" t="s">
        <v>4192</v>
      </c>
    </row>
    <row r="248" spans="1:16" x14ac:dyDescent="0.3">
      <c r="A248" t="s">
        <v>4193</v>
      </c>
      <c r="C248" t="s">
        <v>3610</v>
      </c>
      <c r="D248" t="s">
        <v>408</v>
      </c>
      <c r="E248" t="s">
        <v>409</v>
      </c>
      <c r="G248" t="s">
        <v>20</v>
      </c>
      <c r="H248">
        <v>500</v>
      </c>
      <c r="I248">
        <v>2.6875</v>
      </c>
      <c r="J248">
        <v>497.3125</v>
      </c>
      <c r="O248" t="s">
        <v>21</v>
      </c>
      <c r="P248" t="s">
        <v>4194</v>
      </c>
    </row>
    <row r="249" spans="1:16" x14ac:dyDescent="0.3">
      <c r="A249" t="s">
        <v>4195</v>
      </c>
      <c r="C249" t="s">
        <v>3610</v>
      </c>
      <c r="D249" t="s">
        <v>1116</v>
      </c>
      <c r="E249" t="s">
        <v>1117</v>
      </c>
      <c r="F249" t="s">
        <v>1305</v>
      </c>
      <c r="G249" t="s">
        <v>20</v>
      </c>
      <c r="H249">
        <v>0</v>
      </c>
      <c r="I249">
        <v>0</v>
      </c>
      <c r="J249">
        <v>0</v>
      </c>
      <c r="O249" t="s">
        <v>21</v>
      </c>
      <c r="P249" t="s">
        <v>4196</v>
      </c>
    </row>
    <row r="250" spans="1:16" x14ac:dyDescent="0.3">
      <c r="A250" t="s">
        <v>4197</v>
      </c>
      <c r="C250" t="s">
        <v>3610</v>
      </c>
      <c r="D250" t="s">
        <v>1116</v>
      </c>
      <c r="E250" t="s">
        <v>1117</v>
      </c>
      <c r="F250" t="s">
        <v>1196</v>
      </c>
      <c r="G250" t="s">
        <v>20</v>
      </c>
      <c r="H250">
        <v>0</v>
      </c>
      <c r="I250">
        <v>0</v>
      </c>
      <c r="J250">
        <v>0</v>
      </c>
      <c r="O250" t="s">
        <v>21</v>
      </c>
      <c r="P250" t="s">
        <v>4198</v>
      </c>
    </row>
    <row r="251" spans="1:16" x14ac:dyDescent="0.3">
      <c r="A251" t="s">
        <v>4199</v>
      </c>
      <c r="C251" t="s">
        <v>3610</v>
      </c>
      <c r="D251" t="s">
        <v>408</v>
      </c>
      <c r="E251" t="s">
        <v>409</v>
      </c>
      <c r="G251" t="s">
        <v>20</v>
      </c>
      <c r="H251">
        <v>500</v>
      </c>
      <c r="I251">
        <v>2.6875</v>
      </c>
      <c r="J251">
        <v>497.3125</v>
      </c>
      <c r="O251" t="s">
        <v>21</v>
      </c>
      <c r="P251" t="s">
        <v>4200</v>
      </c>
    </row>
    <row r="252" spans="1:16" x14ac:dyDescent="0.3">
      <c r="A252" t="s">
        <v>4201</v>
      </c>
      <c r="C252" t="s">
        <v>3610</v>
      </c>
      <c r="D252" t="s">
        <v>408</v>
      </c>
      <c r="E252" t="s">
        <v>409</v>
      </c>
      <c r="G252" t="s">
        <v>20</v>
      </c>
      <c r="H252">
        <v>500</v>
      </c>
      <c r="I252">
        <v>2.6875</v>
      </c>
      <c r="J252">
        <v>497.3125</v>
      </c>
      <c r="O252" t="s">
        <v>21</v>
      </c>
      <c r="P252" t="s">
        <v>4202</v>
      </c>
    </row>
    <row r="253" spans="1:16" x14ac:dyDescent="0.3">
      <c r="A253" t="s">
        <v>4203</v>
      </c>
      <c r="C253" t="s">
        <v>3610</v>
      </c>
      <c r="D253" t="s">
        <v>1116</v>
      </c>
      <c r="E253" t="s">
        <v>1195</v>
      </c>
      <c r="F253" t="s">
        <v>1196</v>
      </c>
      <c r="G253" t="s">
        <v>20</v>
      </c>
      <c r="H253">
        <v>0</v>
      </c>
      <c r="I253">
        <v>0</v>
      </c>
      <c r="J253">
        <v>0</v>
      </c>
      <c r="O253" t="s">
        <v>21</v>
      </c>
      <c r="P253" t="s">
        <v>4204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B79F-675D-4194-8F83-436A0C4D5105}">
  <dimension ref="A1:P14"/>
  <sheetViews>
    <sheetView workbookViewId="0">
      <selection activeCell="N16" sqref="N16"/>
    </sheetView>
  </sheetViews>
  <sheetFormatPr defaultRowHeight="14.4" x14ac:dyDescent="0.3"/>
  <cols>
    <col min="3" max="3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4205</v>
      </c>
      <c r="C2" t="s">
        <v>4206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4207</v>
      </c>
    </row>
    <row r="3" spans="1:16" x14ac:dyDescent="0.3">
      <c r="A3" t="s">
        <v>4208</v>
      </c>
      <c r="B3" s="1" t="s">
        <v>4209</v>
      </c>
      <c r="C3" t="s">
        <v>4206</v>
      </c>
      <c r="D3" t="s">
        <v>1203</v>
      </c>
      <c r="E3" t="s">
        <v>19</v>
      </c>
      <c r="G3" t="s">
        <v>20</v>
      </c>
      <c r="H3">
        <v>3300</v>
      </c>
      <c r="I3">
        <v>25</v>
      </c>
      <c r="J3">
        <v>0</v>
      </c>
      <c r="O3" t="s">
        <v>21</v>
      </c>
      <c r="P3" t="s">
        <v>4210</v>
      </c>
    </row>
    <row r="4" spans="1:16" x14ac:dyDescent="0.3">
      <c r="A4" t="s">
        <v>4211</v>
      </c>
      <c r="C4" t="s">
        <v>4206</v>
      </c>
      <c r="D4" t="s">
        <v>1116</v>
      </c>
      <c r="E4" t="s">
        <v>1117</v>
      </c>
      <c r="F4" t="s">
        <v>1305</v>
      </c>
      <c r="G4" t="s">
        <v>20</v>
      </c>
      <c r="H4">
        <v>0</v>
      </c>
      <c r="I4">
        <v>0</v>
      </c>
      <c r="J4">
        <v>0</v>
      </c>
      <c r="O4" t="s">
        <v>21</v>
      </c>
      <c r="P4" t="s">
        <v>4212</v>
      </c>
    </row>
    <row r="5" spans="1:16" x14ac:dyDescent="0.3">
      <c r="A5" t="s">
        <v>4213</v>
      </c>
      <c r="C5" t="s">
        <v>4206</v>
      </c>
      <c r="D5" t="s">
        <v>408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4214</v>
      </c>
    </row>
    <row r="6" spans="1:16" x14ac:dyDescent="0.3">
      <c r="A6" t="s">
        <v>4215</v>
      </c>
      <c r="C6" t="s">
        <v>4206</v>
      </c>
      <c r="D6" t="s">
        <v>408</v>
      </c>
      <c r="E6" t="s">
        <v>409</v>
      </c>
      <c r="G6" t="s">
        <v>20</v>
      </c>
      <c r="H6">
        <v>500</v>
      </c>
      <c r="I6">
        <v>2.6875</v>
      </c>
      <c r="J6">
        <v>497.3125</v>
      </c>
      <c r="O6" t="s">
        <v>21</v>
      </c>
      <c r="P6" t="s">
        <v>4216</v>
      </c>
    </row>
    <row r="7" spans="1:16" x14ac:dyDescent="0.3">
      <c r="A7" t="s">
        <v>4217</v>
      </c>
      <c r="C7" t="s">
        <v>4206</v>
      </c>
      <c r="D7" t="s">
        <v>408</v>
      </c>
      <c r="E7" t="s">
        <v>409</v>
      </c>
      <c r="G7" t="s">
        <v>20</v>
      </c>
      <c r="H7">
        <v>500</v>
      </c>
      <c r="I7">
        <v>2.6875</v>
      </c>
      <c r="J7">
        <v>497.3125</v>
      </c>
      <c r="O7" t="s">
        <v>21</v>
      </c>
      <c r="P7" t="s">
        <v>4218</v>
      </c>
    </row>
    <row r="8" spans="1:16" x14ac:dyDescent="0.3">
      <c r="A8" t="s">
        <v>4219</v>
      </c>
      <c r="C8" t="s">
        <v>4206</v>
      </c>
      <c r="D8" t="s">
        <v>408</v>
      </c>
      <c r="E8" t="s">
        <v>409</v>
      </c>
      <c r="G8" t="s">
        <v>20</v>
      </c>
      <c r="H8">
        <v>100000</v>
      </c>
      <c r="I8">
        <v>107.5</v>
      </c>
      <c r="J8">
        <v>99892.5</v>
      </c>
      <c r="O8" t="s">
        <v>412</v>
      </c>
      <c r="P8" t="s">
        <v>4220</v>
      </c>
    </row>
    <row r="9" spans="1:16" x14ac:dyDescent="0.3">
      <c r="A9" t="s">
        <v>4221</v>
      </c>
      <c r="C9" t="s">
        <v>4206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21</v>
      </c>
      <c r="P9" t="s">
        <v>4222</v>
      </c>
    </row>
    <row r="10" spans="1:16" x14ac:dyDescent="0.3">
      <c r="A10" t="s">
        <v>4223</v>
      </c>
      <c r="C10" t="s">
        <v>4206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21</v>
      </c>
      <c r="P10" t="s">
        <v>4224</v>
      </c>
    </row>
    <row r="11" spans="1:16" x14ac:dyDescent="0.3">
      <c r="A11" t="s">
        <v>4225</v>
      </c>
      <c r="C11" t="s">
        <v>4206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4226</v>
      </c>
    </row>
    <row r="12" spans="1:16" x14ac:dyDescent="0.3">
      <c r="A12" t="s">
        <v>4227</v>
      </c>
      <c r="B12" s="1" t="s">
        <v>4228</v>
      </c>
      <c r="C12" t="s">
        <v>4206</v>
      </c>
      <c r="D12" t="s">
        <v>29</v>
      </c>
      <c r="E12" t="s">
        <v>19</v>
      </c>
      <c r="F12" t="s">
        <v>4229</v>
      </c>
      <c r="G12" t="s">
        <v>20</v>
      </c>
      <c r="H12">
        <v>1000</v>
      </c>
      <c r="I12">
        <v>32.25</v>
      </c>
      <c r="J12">
        <v>967.75</v>
      </c>
      <c r="L12">
        <v>12</v>
      </c>
      <c r="M12">
        <v>2.25</v>
      </c>
      <c r="N12">
        <v>0</v>
      </c>
      <c r="O12" t="s">
        <v>21</v>
      </c>
      <c r="P12" t="s">
        <v>4230</v>
      </c>
    </row>
    <row r="13" spans="1:16" x14ac:dyDescent="0.3">
      <c r="A13" t="s">
        <v>4231</v>
      </c>
      <c r="C13" t="s">
        <v>4206</v>
      </c>
      <c r="D13" t="s">
        <v>1116</v>
      </c>
      <c r="E13" t="s">
        <v>1117</v>
      </c>
      <c r="F13" t="s">
        <v>1196</v>
      </c>
      <c r="G13" t="s">
        <v>20</v>
      </c>
      <c r="H13">
        <v>0</v>
      </c>
      <c r="I13">
        <v>0</v>
      </c>
      <c r="J13">
        <v>0</v>
      </c>
      <c r="O13" t="s">
        <v>21</v>
      </c>
      <c r="P13" t="s">
        <v>4232</v>
      </c>
    </row>
    <row r="14" spans="1:16" x14ac:dyDescent="0.3">
      <c r="A14" t="s">
        <v>4233</v>
      </c>
      <c r="C14" t="s">
        <v>4206</v>
      </c>
      <c r="D14" t="s">
        <v>1116</v>
      </c>
      <c r="E14" t="s">
        <v>1195</v>
      </c>
      <c r="F14" t="s">
        <v>1196</v>
      </c>
      <c r="G14" t="s">
        <v>20</v>
      </c>
      <c r="H14">
        <v>0</v>
      </c>
      <c r="I14">
        <v>0</v>
      </c>
      <c r="J14">
        <v>0</v>
      </c>
      <c r="O14" t="s">
        <v>21</v>
      </c>
      <c r="P14" t="s">
        <v>4234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3D57-6D20-4766-9FF3-4D52D8A1ABD1}">
  <dimension ref="A1:P145"/>
  <sheetViews>
    <sheetView workbookViewId="0">
      <selection activeCell="F19" sqref="F19"/>
    </sheetView>
  </sheetViews>
  <sheetFormatPr defaultRowHeight="14.4" x14ac:dyDescent="0.3"/>
  <cols>
    <col min="3" max="3" width="17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4235</v>
      </c>
      <c r="C2" t="s">
        <v>4236</v>
      </c>
      <c r="D2" t="s">
        <v>408</v>
      </c>
      <c r="E2" t="s">
        <v>409</v>
      </c>
      <c r="G2" t="s">
        <v>20</v>
      </c>
      <c r="H2">
        <v>1200</v>
      </c>
      <c r="I2" s="1" t="s">
        <v>4237</v>
      </c>
      <c r="J2">
        <v>1193.55</v>
      </c>
      <c r="O2" t="s">
        <v>412</v>
      </c>
      <c r="P2" t="s">
        <v>4238</v>
      </c>
    </row>
    <row r="3" spans="1:16" x14ac:dyDescent="0.3">
      <c r="A3" t="s">
        <v>4239</v>
      </c>
      <c r="C3" t="s">
        <v>4236</v>
      </c>
      <c r="D3" t="s">
        <v>408</v>
      </c>
      <c r="E3" t="s">
        <v>409</v>
      </c>
      <c r="G3" t="s">
        <v>20</v>
      </c>
      <c r="H3">
        <v>1200</v>
      </c>
      <c r="I3" s="1" t="s">
        <v>4237</v>
      </c>
      <c r="J3">
        <v>1193.55</v>
      </c>
      <c r="O3" t="s">
        <v>412</v>
      </c>
      <c r="P3" t="s">
        <v>4240</v>
      </c>
    </row>
    <row r="4" spans="1:16" x14ac:dyDescent="0.3">
      <c r="A4" t="s">
        <v>4241</v>
      </c>
      <c r="B4" s="1" t="s">
        <v>4242</v>
      </c>
      <c r="C4" t="s">
        <v>4236</v>
      </c>
      <c r="D4" t="s">
        <v>1203</v>
      </c>
      <c r="E4" t="s">
        <v>19</v>
      </c>
      <c r="G4" t="s">
        <v>20</v>
      </c>
      <c r="H4">
        <v>36000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21</v>
      </c>
      <c r="P4" t="s">
        <v>4243</v>
      </c>
    </row>
    <row r="5" spans="1:16" x14ac:dyDescent="0.3">
      <c r="A5" t="s">
        <v>4244</v>
      </c>
      <c r="B5" s="1" t="s">
        <v>4245</v>
      </c>
      <c r="C5" t="s">
        <v>4236</v>
      </c>
      <c r="D5" t="s">
        <v>1203</v>
      </c>
      <c r="E5" t="s">
        <v>19</v>
      </c>
      <c r="G5" t="s">
        <v>20</v>
      </c>
      <c r="H5">
        <v>150000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4246</v>
      </c>
    </row>
    <row r="6" spans="1:16" x14ac:dyDescent="0.3">
      <c r="A6" t="s">
        <v>4247</v>
      </c>
      <c r="C6" t="s">
        <v>4236</v>
      </c>
      <c r="D6" t="s">
        <v>404</v>
      </c>
      <c r="E6" t="s">
        <v>19</v>
      </c>
      <c r="F6" t="s">
        <v>2739</v>
      </c>
      <c r="G6" t="s">
        <v>20</v>
      </c>
      <c r="H6">
        <v>145844</v>
      </c>
      <c r="I6">
        <v>0</v>
      </c>
      <c r="J6">
        <v>0</v>
      </c>
      <c r="O6" t="s">
        <v>21</v>
      </c>
      <c r="P6" t="s">
        <v>4248</v>
      </c>
    </row>
    <row r="7" spans="1:16" x14ac:dyDescent="0.3">
      <c r="A7" t="s">
        <v>4249</v>
      </c>
      <c r="C7" t="s">
        <v>4236</v>
      </c>
      <c r="D7" t="s">
        <v>408</v>
      </c>
      <c r="E7" t="s">
        <v>409</v>
      </c>
      <c r="G7" t="s">
        <v>20</v>
      </c>
      <c r="H7">
        <v>9000</v>
      </c>
      <c r="I7">
        <v>48.375</v>
      </c>
      <c r="J7">
        <v>8951.625</v>
      </c>
      <c r="O7" t="s">
        <v>21</v>
      </c>
      <c r="P7" t="s">
        <v>4250</v>
      </c>
    </row>
    <row r="8" spans="1:16" x14ac:dyDescent="0.3">
      <c r="A8" t="s">
        <v>4251</v>
      </c>
      <c r="C8" t="s">
        <v>4236</v>
      </c>
      <c r="D8" t="s">
        <v>408</v>
      </c>
      <c r="E8" t="s">
        <v>409</v>
      </c>
      <c r="G8" t="s">
        <v>20</v>
      </c>
      <c r="H8">
        <v>137000</v>
      </c>
      <c r="I8">
        <v>107.5</v>
      </c>
      <c r="J8">
        <v>136892.5</v>
      </c>
      <c r="O8" t="s">
        <v>21</v>
      </c>
      <c r="P8" t="s">
        <v>4252</v>
      </c>
    </row>
    <row r="9" spans="1:16" x14ac:dyDescent="0.3">
      <c r="A9" t="s">
        <v>4253</v>
      </c>
      <c r="C9" t="s">
        <v>4236</v>
      </c>
      <c r="D9" t="s">
        <v>404</v>
      </c>
      <c r="E9" t="s">
        <v>19</v>
      </c>
      <c r="F9" t="s">
        <v>4254</v>
      </c>
      <c r="G9" t="s">
        <v>20</v>
      </c>
      <c r="H9">
        <v>7857</v>
      </c>
      <c r="I9">
        <v>0</v>
      </c>
      <c r="J9">
        <v>0</v>
      </c>
      <c r="O9" t="s">
        <v>21</v>
      </c>
      <c r="P9" t="s">
        <v>4255</v>
      </c>
    </row>
    <row r="10" spans="1:16" x14ac:dyDescent="0.3">
      <c r="A10" t="s">
        <v>4256</v>
      </c>
      <c r="C10" t="s">
        <v>4236</v>
      </c>
      <c r="D10" t="s">
        <v>408</v>
      </c>
      <c r="E10" t="s">
        <v>409</v>
      </c>
      <c r="G10" t="s">
        <v>20</v>
      </c>
      <c r="H10">
        <v>4500</v>
      </c>
      <c r="I10">
        <v>24.1875</v>
      </c>
      <c r="J10">
        <v>4475.8125</v>
      </c>
      <c r="O10" t="s">
        <v>21</v>
      </c>
      <c r="P10" t="s">
        <v>4257</v>
      </c>
    </row>
    <row r="11" spans="1:16" x14ac:dyDescent="0.3">
      <c r="A11" t="s">
        <v>4258</v>
      </c>
      <c r="C11" t="s">
        <v>4236</v>
      </c>
      <c r="D11" t="s">
        <v>408</v>
      </c>
      <c r="E11" t="s">
        <v>409</v>
      </c>
      <c r="G11" t="s">
        <v>20</v>
      </c>
      <c r="H11">
        <v>5200</v>
      </c>
      <c r="I11">
        <v>27.95</v>
      </c>
      <c r="J11">
        <v>5172.05</v>
      </c>
      <c r="O11" t="s">
        <v>412</v>
      </c>
      <c r="P11" t="s">
        <v>4259</v>
      </c>
    </row>
    <row r="12" spans="1:16" x14ac:dyDescent="0.3">
      <c r="A12" t="s">
        <v>4260</v>
      </c>
      <c r="C12" t="s">
        <v>4236</v>
      </c>
      <c r="D12" t="s">
        <v>408</v>
      </c>
      <c r="E12" t="s">
        <v>409</v>
      </c>
      <c r="G12" t="s">
        <v>20</v>
      </c>
      <c r="H12">
        <v>3400</v>
      </c>
      <c r="I12">
        <v>18.274999999999999</v>
      </c>
      <c r="J12">
        <v>3381.7249999999999</v>
      </c>
      <c r="O12" t="s">
        <v>21</v>
      </c>
      <c r="P12" t="s">
        <v>4261</v>
      </c>
    </row>
    <row r="13" spans="1:16" x14ac:dyDescent="0.3">
      <c r="A13" t="s">
        <v>4262</v>
      </c>
      <c r="C13" t="s">
        <v>4236</v>
      </c>
      <c r="D13" t="s">
        <v>404</v>
      </c>
      <c r="E13" t="s">
        <v>19</v>
      </c>
      <c r="F13" t="s">
        <v>4263</v>
      </c>
      <c r="G13" t="s">
        <v>20</v>
      </c>
      <c r="H13">
        <v>32892</v>
      </c>
      <c r="I13">
        <v>0</v>
      </c>
      <c r="J13">
        <v>0</v>
      </c>
      <c r="O13" t="s">
        <v>21</v>
      </c>
      <c r="P13" t="s">
        <v>4264</v>
      </c>
    </row>
    <row r="14" spans="1:16" x14ac:dyDescent="0.3">
      <c r="A14" t="s">
        <v>4265</v>
      </c>
      <c r="C14" t="s">
        <v>4236</v>
      </c>
      <c r="D14" t="s">
        <v>408</v>
      </c>
      <c r="E14" t="s">
        <v>409</v>
      </c>
      <c r="G14" t="s">
        <v>20</v>
      </c>
      <c r="H14">
        <v>33000</v>
      </c>
      <c r="I14">
        <v>107.5</v>
      </c>
      <c r="J14">
        <v>32892.5</v>
      </c>
      <c r="O14" t="s">
        <v>21</v>
      </c>
      <c r="P14" t="s">
        <v>4266</v>
      </c>
    </row>
    <row r="15" spans="1:16" x14ac:dyDescent="0.3">
      <c r="A15" t="s">
        <v>4267</v>
      </c>
      <c r="C15" t="s">
        <v>4236</v>
      </c>
      <c r="D15" t="s">
        <v>408</v>
      </c>
      <c r="E15" t="s">
        <v>409</v>
      </c>
      <c r="G15" t="s">
        <v>20</v>
      </c>
      <c r="H15">
        <v>30000</v>
      </c>
      <c r="I15">
        <v>107.5</v>
      </c>
      <c r="J15">
        <v>29892.5</v>
      </c>
      <c r="O15" t="s">
        <v>412</v>
      </c>
      <c r="P15" t="s">
        <v>4268</v>
      </c>
    </row>
    <row r="16" spans="1:16" x14ac:dyDescent="0.3">
      <c r="A16" t="s">
        <v>4269</v>
      </c>
      <c r="C16" t="s">
        <v>4236</v>
      </c>
      <c r="D16" t="s">
        <v>408</v>
      </c>
      <c r="E16" t="s">
        <v>409</v>
      </c>
      <c r="G16" t="s">
        <v>20</v>
      </c>
      <c r="H16">
        <v>5100</v>
      </c>
      <c r="I16">
        <v>27.412500000000001</v>
      </c>
      <c r="J16">
        <v>5072.5874999999996</v>
      </c>
      <c r="O16" t="s">
        <v>412</v>
      </c>
      <c r="P16" t="s">
        <v>4270</v>
      </c>
    </row>
    <row r="17" spans="1:16" x14ac:dyDescent="0.3">
      <c r="A17" t="s">
        <v>4271</v>
      </c>
      <c r="C17" t="s">
        <v>4236</v>
      </c>
      <c r="D17" t="s">
        <v>408</v>
      </c>
      <c r="E17" t="s">
        <v>409</v>
      </c>
      <c r="G17" t="s">
        <v>20</v>
      </c>
      <c r="H17">
        <v>21000</v>
      </c>
      <c r="I17">
        <v>107.5</v>
      </c>
      <c r="J17">
        <v>20892.5</v>
      </c>
      <c r="O17" t="s">
        <v>412</v>
      </c>
      <c r="P17" t="s">
        <v>4272</v>
      </c>
    </row>
    <row r="18" spans="1:16" x14ac:dyDescent="0.3">
      <c r="A18" t="s">
        <v>4273</v>
      </c>
      <c r="B18" s="1" t="s">
        <v>4274</v>
      </c>
      <c r="C18" t="s">
        <v>4236</v>
      </c>
      <c r="D18" t="s">
        <v>1203</v>
      </c>
      <c r="E18" t="s">
        <v>19</v>
      </c>
      <c r="G18" t="s">
        <v>20</v>
      </c>
      <c r="H18">
        <v>90000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4275</v>
      </c>
    </row>
    <row r="19" spans="1:16" x14ac:dyDescent="0.3">
      <c r="A19" t="s">
        <v>4276</v>
      </c>
      <c r="C19" t="s">
        <v>4236</v>
      </c>
      <c r="D19" t="s">
        <v>408</v>
      </c>
      <c r="E19" t="s">
        <v>409</v>
      </c>
      <c r="G19" t="s">
        <v>20</v>
      </c>
      <c r="H19">
        <v>1700</v>
      </c>
      <c r="I19">
        <v>9.1374999999999993</v>
      </c>
      <c r="J19">
        <v>1690.8625</v>
      </c>
      <c r="O19" t="s">
        <v>412</v>
      </c>
      <c r="P19" t="s">
        <v>4277</v>
      </c>
    </row>
    <row r="20" spans="1:16" x14ac:dyDescent="0.3">
      <c r="A20" t="s">
        <v>4278</v>
      </c>
      <c r="C20" t="s">
        <v>4236</v>
      </c>
      <c r="D20" t="s">
        <v>408</v>
      </c>
      <c r="E20" t="s">
        <v>409</v>
      </c>
      <c r="G20" t="s">
        <v>20</v>
      </c>
      <c r="H20">
        <v>10000</v>
      </c>
      <c r="I20" s="1" t="s">
        <v>1432</v>
      </c>
      <c r="J20">
        <v>9946.25</v>
      </c>
      <c r="O20" t="s">
        <v>412</v>
      </c>
      <c r="P20" t="s">
        <v>4279</v>
      </c>
    </row>
    <row r="21" spans="1:16" x14ac:dyDescent="0.3">
      <c r="A21" t="s">
        <v>4280</v>
      </c>
      <c r="C21" t="s">
        <v>4236</v>
      </c>
      <c r="D21" t="s">
        <v>408</v>
      </c>
      <c r="E21" t="s">
        <v>409</v>
      </c>
      <c r="G21" t="s">
        <v>20</v>
      </c>
      <c r="H21">
        <v>10000</v>
      </c>
      <c r="I21" s="1" t="s">
        <v>1432</v>
      </c>
      <c r="J21">
        <v>9946.25</v>
      </c>
      <c r="O21" t="s">
        <v>412</v>
      </c>
      <c r="P21" t="s">
        <v>4281</v>
      </c>
    </row>
    <row r="22" spans="1:16" x14ac:dyDescent="0.3">
      <c r="A22" t="s">
        <v>4282</v>
      </c>
      <c r="C22" t="s">
        <v>4236</v>
      </c>
      <c r="D22" t="s">
        <v>408</v>
      </c>
      <c r="E22" t="s">
        <v>409</v>
      </c>
      <c r="G22" t="s">
        <v>20</v>
      </c>
      <c r="H22">
        <v>50000</v>
      </c>
      <c r="I22">
        <v>107.5</v>
      </c>
      <c r="J22">
        <v>49892.5</v>
      </c>
      <c r="O22" t="s">
        <v>412</v>
      </c>
      <c r="P22" t="s">
        <v>4283</v>
      </c>
    </row>
    <row r="23" spans="1:16" x14ac:dyDescent="0.3">
      <c r="A23" t="s">
        <v>4284</v>
      </c>
      <c r="C23" t="s">
        <v>4236</v>
      </c>
      <c r="D23" t="s">
        <v>404</v>
      </c>
      <c r="E23" t="s">
        <v>19</v>
      </c>
      <c r="F23" t="s">
        <v>4285</v>
      </c>
      <c r="G23" t="s">
        <v>20</v>
      </c>
      <c r="H23">
        <v>85887</v>
      </c>
      <c r="I23">
        <v>0</v>
      </c>
      <c r="J23">
        <v>0</v>
      </c>
      <c r="O23" t="s">
        <v>21</v>
      </c>
      <c r="P23" t="s">
        <v>4286</v>
      </c>
    </row>
    <row r="24" spans="1:16" x14ac:dyDescent="0.3">
      <c r="A24" t="s">
        <v>4287</v>
      </c>
      <c r="C24" t="s">
        <v>4236</v>
      </c>
      <c r="D24" t="s">
        <v>408</v>
      </c>
      <c r="E24" t="s">
        <v>409</v>
      </c>
      <c r="G24" t="s">
        <v>20</v>
      </c>
      <c r="H24">
        <v>1000</v>
      </c>
      <c r="I24">
        <v>5.375</v>
      </c>
      <c r="J24">
        <v>994.625</v>
      </c>
      <c r="O24" t="s">
        <v>21</v>
      </c>
      <c r="P24" t="s">
        <v>4288</v>
      </c>
    </row>
    <row r="25" spans="1:16" x14ac:dyDescent="0.3">
      <c r="A25" t="s">
        <v>4289</v>
      </c>
      <c r="C25" t="s">
        <v>4236</v>
      </c>
      <c r="D25" t="s">
        <v>408</v>
      </c>
      <c r="E25" t="s">
        <v>409</v>
      </c>
      <c r="G25" t="s">
        <v>20</v>
      </c>
      <c r="H25">
        <v>2500</v>
      </c>
      <c r="I25" s="1" t="s">
        <v>1255</v>
      </c>
      <c r="J25">
        <v>2486.5625</v>
      </c>
      <c r="O25" t="s">
        <v>412</v>
      </c>
      <c r="P25" t="s">
        <v>4290</v>
      </c>
    </row>
    <row r="26" spans="1:16" x14ac:dyDescent="0.3">
      <c r="A26" t="s">
        <v>4291</v>
      </c>
      <c r="C26" t="s">
        <v>4236</v>
      </c>
      <c r="D26" t="s">
        <v>408</v>
      </c>
      <c r="E26" t="s">
        <v>409</v>
      </c>
      <c r="G26" t="s">
        <v>20</v>
      </c>
      <c r="H26">
        <v>2500</v>
      </c>
      <c r="I26" s="1" t="s">
        <v>1255</v>
      </c>
      <c r="J26">
        <v>2486.5625</v>
      </c>
      <c r="O26" t="s">
        <v>412</v>
      </c>
      <c r="P26" t="s">
        <v>4292</v>
      </c>
    </row>
    <row r="27" spans="1:16" x14ac:dyDescent="0.3">
      <c r="A27" t="s">
        <v>4293</v>
      </c>
      <c r="C27" t="s">
        <v>4236</v>
      </c>
      <c r="D27" t="s">
        <v>408</v>
      </c>
      <c r="E27" t="s">
        <v>409</v>
      </c>
      <c r="G27" t="s">
        <v>20</v>
      </c>
      <c r="H27">
        <v>85000</v>
      </c>
      <c r="I27">
        <v>107.5</v>
      </c>
      <c r="J27">
        <v>84892.5</v>
      </c>
      <c r="O27" t="s">
        <v>21</v>
      </c>
      <c r="P27" t="s">
        <v>4294</v>
      </c>
    </row>
    <row r="28" spans="1:16" x14ac:dyDescent="0.3">
      <c r="A28" t="s">
        <v>4295</v>
      </c>
      <c r="C28" t="s">
        <v>4236</v>
      </c>
      <c r="D28" t="s">
        <v>404</v>
      </c>
      <c r="E28" t="s">
        <v>19</v>
      </c>
      <c r="F28" t="s">
        <v>2790</v>
      </c>
      <c r="G28" t="s">
        <v>20</v>
      </c>
      <c r="H28">
        <v>3381</v>
      </c>
      <c r="I28">
        <v>0</v>
      </c>
      <c r="J28">
        <v>0</v>
      </c>
      <c r="O28" t="s">
        <v>21</v>
      </c>
      <c r="P28" t="s">
        <v>4296</v>
      </c>
    </row>
    <row r="29" spans="1:16" x14ac:dyDescent="0.3">
      <c r="A29" t="s">
        <v>4297</v>
      </c>
      <c r="C29" t="s">
        <v>4236</v>
      </c>
      <c r="D29" t="s">
        <v>408</v>
      </c>
      <c r="E29" t="s">
        <v>409</v>
      </c>
      <c r="G29" t="s">
        <v>20</v>
      </c>
      <c r="H29">
        <v>10400</v>
      </c>
      <c r="I29">
        <v>55.9</v>
      </c>
      <c r="J29">
        <v>10344.1</v>
      </c>
      <c r="O29" t="s">
        <v>412</v>
      </c>
      <c r="P29" t="s">
        <v>4298</v>
      </c>
    </row>
    <row r="30" spans="1:16" x14ac:dyDescent="0.3">
      <c r="A30" t="s">
        <v>4299</v>
      </c>
      <c r="C30" t="s">
        <v>4236</v>
      </c>
      <c r="D30" t="s">
        <v>408</v>
      </c>
      <c r="E30" t="s">
        <v>409</v>
      </c>
      <c r="G30" t="s">
        <v>20</v>
      </c>
      <c r="H30">
        <v>3400</v>
      </c>
      <c r="I30">
        <v>18.274999999999999</v>
      </c>
      <c r="J30">
        <v>3381.7249999999999</v>
      </c>
      <c r="O30" t="s">
        <v>21</v>
      </c>
      <c r="P30" t="s">
        <v>4300</v>
      </c>
    </row>
    <row r="31" spans="1:16" x14ac:dyDescent="0.3">
      <c r="A31" t="s">
        <v>4301</v>
      </c>
      <c r="C31" t="s">
        <v>4236</v>
      </c>
      <c r="D31" t="s">
        <v>408</v>
      </c>
      <c r="E31" t="s">
        <v>409</v>
      </c>
      <c r="G31" t="s">
        <v>20</v>
      </c>
      <c r="H31">
        <v>10000</v>
      </c>
      <c r="I31" s="1" t="s">
        <v>1432</v>
      </c>
      <c r="J31">
        <v>9946.25</v>
      </c>
      <c r="O31" t="s">
        <v>412</v>
      </c>
      <c r="P31" t="s">
        <v>4302</v>
      </c>
    </row>
    <row r="32" spans="1:16" x14ac:dyDescent="0.3">
      <c r="A32" t="s">
        <v>4303</v>
      </c>
      <c r="C32" t="s">
        <v>4236</v>
      </c>
      <c r="D32" t="s">
        <v>408</v>
      </c>
      <c r="E32" t="s">
        <v>409</v>
      </c>
      <c r="G32" t="s">
        <v>20</v>
      </c>
      <c r="H32">
        <v>10400</v>
      </c>
      <c r="I32">
        <v>55.9</v>
      </c>
      <c r="J32">
        <v>10344.1</v>
      </c>
      <c r="O32" t="s">
        <v>412</v>
      </c>
      <c r="P32" t="s">
        <v>4304</v>
      </c>
    </row>
    <row r="33" spans="1:16" x14ac:dyDescent="0.3">
      <c r="A33" t="s">
        <v>4305</v>
      </c>
      <c r="B33" s="1" t="s">
        <v>4306</v>
      </c>
      <c r="C33" t="s">
        <v>4236</v>
      </c>
      <c r="D33" t="s">
        <v>1203</v>
      </c>
      <c r="E33" t="s">
        <v>19</v>
      </c>
      <c r="G33" t="s">
        <v>20</v>
      </c>
      <c r="H33">
        <v>68000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4307</v>
      </c>
    </row>
    <row r="34" spans="1:16" x14ac:dyDescent="0.3">
      <c r="A34" t="s">
        <v>4308</v>
      </c>
      <c r="C34" t="s">
        <v>4236</v>
      </c>
      <c r="D34" t="s">
        <v>404</v>
      </c>
      <c r="E34" t="s">
        <v>19</v>
      </c>
      <c r="F34" t="s">
        <v>2559</v>
      </c>
      <c r="G34" t="s">
        <v>20</v>
      </c>
      <c r="H34">
        <v>2287</v>
      </c>
      <c r="I34">
        <v>0</v>
      </c>
      <c r="J34">
        <v>0</v>
      </c>
      <c r="O34" t="s">
        <v>21</v>
      </c>
      <c r="P34" t="s">
        <v>4309</v>
      </c>
    </row>
    <row r="35" spans="1:16" x14ac:dyDescent="0.3">
      <c r="A35" t="s">
        <v>4310</v>
      </c>
      <c r="C35" t="s">
        <v>4236</v>
      </c>
      <c r="D35" t="s">
        <v>408</v>
      </c>
      <c r="E35" t="s">
        <v>409</v>
      </c>
      <c r="G35" t="s">
        <v>20</v>
      </c>
      <c r="H35">
        <v>2300</v>
      </c>
      <c r="I35">
        <v>12.362500000000001</v>
      </c>
      <c r="J35">
        <v>2287.6374999999998</v>
      </c>
      <c r="O35" t="s">
        <v>21</v>
      </c>
      <c r="P35" t="s">
        <v>4311</v>
      </c>
    </row>
    <row r="36" spans="1:16" x14ac:dyDescent="0.3">
      <c r="A36" t="s">
        <v>4312</v>
      </c>
      <c r="C36" t="s">
        <v>4236</v>
      </c>
      <c r="D36" t="s">
        <v>404</v>
      </c>
      <c r="E36" t="s">
        <v>19</v>
      </c>
      <c r="F36" t="s">
        <v>4313</v>
      </c>
      <c r="G36" t="s">
        <v>20</v>
      </c>
      <c r="H36">
        <v>46179</v>
      </c>
      <c r="I36">
        <v>0</v>
      </c>
      <c r="J36">
        <v>0</v>
      </c>
      <c r="O36" t="s">
        <v>21</v>
      </c>
      <c r="P36" t="s">
        <v>4314</v>
      </c>
    </row>
    <row r="37" spans="1:16" x14ac:dyDescent="0.3">
      <c r="A37" t="s">
        <v>4315</v>
      </c>
      <c r="C37" t="s">
        <v>4236</v>
      </c>
      <c r="D37" t="s">
        <v>408</v>
      </c>
      <c r="E37" t="s">
        <v>409</v>
      </c>
      <c r="G37" t="s">
        <v>20</v>
      </c>
      <c r="H37">
        <v>3500</v>
      </c>
      <c r="I37">
        <v>18.8125</v>
      </c>
      <c r="J37">
        <v>3481.1875</v>
      </c>
      <c r="O37" t="s">
        <v>21</v>
      </c>
      <c r="P37" t="s">
        <v>4316</v>
      </c>
    </row>
    <row r="38" spans="1:16" x14ac:dyDescent="0.3">
      <c r="A38" t="s">
        <v>4317</v>
      </c>
      <c r="C38" t="s">
        <v>4236</v>
      </c>
      <c r="D38" t="s">
        <v>408</v>
      </c>
      <c r="E38" t="s">
        <v>409</v>
      </c>
      <c r="G38" t="s">
        <v>20</v>
      </c>
      <c r="H38">
        <v>1500</v>
      </c>
      <c r="I38" s="1" t="s">
        <v>1717</v>
      </c>
      <c r="J38">
        <v>1491.9375</v>
      </c>
      <c r="O38" t="s">
        <v>21</v>
      </c>
      <c r="P38" t="s">
        <v>4318</v>
      </c>
    </row>
    <row r="39" spans="1:16" x14ac:dyDescent="0.3">
      <c r="A39" t="s">
        <v>4319</v>
      </c>
      <c r="C39" t="s">
        <v>4236</v>
      </c>
      <c r="D39" t="s">
        <v>408</v>
      </c>
      <c r="E39" t="s">
        <v>409</v>
      </c>
      <c r="G39" t="s">
        <v>20</v>
      </c>
      <c r="H39">
        <v>12000</v>
      </c>
      <c r="I39" s="1" t="s">
        <v>1607</v>
      </c>
      <c r="J39">
        <v>11935.5</v>
      </c>
      <c r="O39" t="s">
        <v>21</v>
      </c>
      <c r="P39" t="s">
        <v>4320</v>
      </c>
    </row>
    <row r="40" spans="1:16" x14ac:dyDescent="0.3">
      <c r="A40" t="s">
        <v>4321</v>
      </c>
      <c r="C40" t="s">
        <v>4236</v>
      </c>
      <c r="D40" t="s">
        <v>408</v>
      </c>
      <c r="E40" t="s">
        <v>409</v>
      </c>
      <c r="G40" t="s">
        <v>20</v>
      </c>
      <c r="H40">
        <v>4100</v>
      </c>
      <c r="I40">
        <v>22.037500000000001</v>
      </c>
      <c r="J40">
        <v>4077.9625000000001</v>
      </c>
      <c r="O40" t="s">
        <v>21</v>
      </c>
      <c r="P40" t="s">
        <v>4322</v>
      </c>
    </row>
    <row r="41" spans="1:16" x14ac:dyDescent="0.3">
      <c r="A41" t="s">
        <v>4323</v>
      </c>
      <c r="C41" t="s">
        <v>4236</v>
      </c>
      <c r="D41" t="s">
        <v>408</v>
      </c>
      <c r="E41" t="s">
        <v>409</v>
      </c>
      <c r="G41" t="s">
        <v>20</v>
      </c>
      <c r="H41">
        <v>25300</v>
      </c>
      <c r="I41">
        <v>107.5</v>
      </c>
      <c r="J41">
        <v>25192.5</v>
      </c>
      <c r="O41" t="s">
        <v>21</v>
      </c>
      <c r="P41" t="s">
        <v>4324</v>
      </c>
    </row>
    <row r="42" spans="1:16" x14ac:dyDescent="0.3">
      <c r="A42" t="s">
        <v>4325</v>
      </c>
      <c r="C42" t="s">
        <v>4236</v>
      </c>
      <c r="D42" t="s">
        <v>404</v>
      </c>
      <c r="E42" t="s">
        <v>19</v>
      </c>
      <c r="F42" t="s">
        <v>1435</v>
      </c>
      <c r="G42" t="s">
        <v>20</v>
      </c>
      <c r="H42">
        <v>19892</v>
      </c>
      <c r="I42">
        <v>0</v>
      </c>
      <c r="J42">
        <v>0</v>
      </c>
      <c r="O42" t="s">
        <v>21</v>
      </c>
      <c r="P42" t="s">
        <v>4326</v>
      </c>
    </row>
    <row r="43" spans="1:16" x14ac:dyDescent="0.3">
      <c r="A43" t="s">
        <v>4327</v>
      </c>
      <c r="C43" t="s">
        <v>4236</v>
      </c>
      <c r="D43" t="s">
        <v>408</v>
      </c>
      <c r="E43" t="s">
        <v>409</v>
      </c>
      <c r="G43" t="s">
        <v>20</v>
      </c>
      <c r="H43">
        <v>10000</v>
      </c>
      <c r="I43" s="1" t="s">
        <v>1432</v>
      </c>
      <c r="J43">
        <v>9946.25</v>
      </c>
      <c r="O43" t="s">
        <v>21</v>
      </c>
      <c r="P43" t="s">
        <v>4328</v>
      </c>
    </row>
    <row r="44" spans="1:16" x14ac:dyDescent="0.3">
      <c r="A44" t="s">
        <v>4329</v>
      </c>
      <c r="C44" t="s">
        <v>4236</v>
      </c>
      <c r="D44" t="s">
        <v>408</v>
      </c>
      <c r="E44" t="s">
        <v>409</v>
      </c>
      <c r="G44" t="s">
        <v>20</v>
      </c>
      <c r="H44">
        <v>10000</v>
      </c>
      <c r="I44" s="1" t="s">
        <v>1432</v>
      </c>
      <c r="J44">
        <v>9946.25</v>
      </c>
      <c r="O44" t="s">
        <v>21</v>
      </c>
      <c r="P44" t="s">
        <v>4330</v>
      </c>
    </row>
    <row r="45" spans="1:16" x14ac:dyDescent="0.3">
      <c r="A45" t="s">
        <v>4331</v>
      </c>
      <c r="B45" s="1" t="s">
        <v>4332</v>
      </c>
      <c r="C45" t="s">
        <v>4236</v>
      </c>
      <c r="D45" t="s">
        <v>1203</v>
      </c>
      <c r="E45" t="s">
        <v>19</v>
      </c>
      <c r="G45" t="s">
        <v>20</v>
      </c>
      <c r="H45">
        <v>10000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4333</v>
      </c>
    </row>
    <row r="46" spans="1:16" x14ac:dyDescent="0.3">
      <c r="A46" t="s">
        <v>4334</v>
      </c>
      <c r="B46" s="1" t="s">
        <v>4335</v>
      </c>
      <c r="C46" t="s">
        <v>4236</v>
      </c>
      <c r="D46" t="s">
        <v>29</v>
      </c>
      <c r="E46" t="s">
        <v>19</v>
      </c>
      <c r="F46" t="s">
        <v>4336</v>
      </c>
      <c r="G46" t="s">
        <v>20</v>
      </c>
      <c r="H46">
        <v>10000</v>
      </c>
      <c r="I46">
        <v>32.25</v>
      </c>
      <c r="J46">
        <v>9967.75</v>
      </c>
      <c r="L46">
        <v>12</v>
      </c>
      <c r="M46">
        <v>2.25</v>
      </c>
      <c r="N46">
        <v>0</v>
      </c>
      <c r="O46" t="s">
        <v>21</v>
      </c>
      <c r="P46" t="s">
        <v>4337</v>
      </c>
    </row>
    <row r="47" spans="1:16" x14ac:dyDescent="0.3">
      <c r="A47" t="s">
        <v>4338</v>
      </c>
      <c r="C47" t="s">
        <v>4236</v>
      </c>
      <c r="D47" t="s">
        <v>408</v>
      </c>
      <c r="E47" t="s">
        <v>409</v>
      </c>
      <c r="G47" t="s">
        <v>20</v>
      </c>
      <c r="H47">
        <v>500</v>
      </c>
      <c r="I47">
        <v>2.6875</v>
      </c>
      <c r="J47">
        <v>497.3125</v>
      </c>
      <c r="O47" t="s">
        <v>412</v>
      </c>
      <c r="P47" t="s">
        <v>4339</v>
      </c>
    </row>
    <row r="48" spans="1:16" x14ac:dyDescent="0.3">
      <c r="A48" t="s">
        <v>4340</v>
      </c>
      <c r="C48" t="s">
        <v>4236</v>
      </c>
      <c r="D48" t="s">
        <v>408</v>
      </c>
      <c r="E48" t="s">
        <v>409</v>
      </c>
      <c r="G48" t="s">
        <v>20</v>
      </c>
      <c r="H48">
        <v>500</v>
      </c>
      <c r="I48">
        <v>2.6875</v>
      </c>
      <c r="J48">
        <v>497.3125</v>
      </c>
      <c r="O48" t="s">
        <v>412</v>
      </c>
      <c r="P48" t="s">
        <v>4341</v>
      </c>
    </row>
    <row r="49" spans="1:16" x14ac:dyDescent="0.3">
      <c r="A49" t="s">
        <v>4342</v>
      </c>
      <c r="C49" t="s">
        <v>4236</v>
      </c>
      <c r="D49" t="s">
        <v>18</v>
      </c>
      <c r="E49" t="s">
        <v>19</v>
      </c>
      <c r="G49" t="s">
        <v>20</v>
      </c>
      <c r="H49">
        <v>70071.5</v>
      </c>
      <c r="I49">
        <v>0</v>
      </c>
      <c r="J49">
        <v>70071.5</v>
      </c>
      <c r="O49" t="s">
        <v>21</v>
      </c>
      <c r="P49" t="s">
        <v>4343</v>
      </c>
    </row>
    <row r="50" spans="1:16" x14ac:dyDescent="0.3">
      <c r="A50" t="s">
        <v>4344</v>
      </c>
      <c r="C50" t="s">
        <v>4236</v>
      </c>
      <c r="D50" t="s">
        <v>18</v>
      </c>
      <c r="E50" t="s">
        <v>19</v>
      </c>
      <c r="F50" t="s">
        <v>4345</v>
      </c>
      <c r="G50" t="s">
        <v>20</v>
      </c>
      <c r="H50">
        <v>77000</v>
      </c>
      <c r="I50">
        <v>0</v>
      </c>
      <c r="J50">
        <v>77000</v>
      </c>
      <c r="O50" t="s">
        <v>21</v>
      </c>
      <c r="P50" t="s">
        <v>4346</v>
      </c>
    </row>
    <row r="51" spans="1:16" x14ac:dyDescent="0.3">
      <c r="A51" t="s">
        <v>4347</v>
      </c>
      <c r="C51" t="s">
        <v>4236</v>
      </c>
      <c r="D51" t="s">
        <v>18</v>
      </c>
      <c r="E51" t="s">
        <v>19</v>
      </c>
      <c r="F51" t="s">
        <v>4345</v>
      </c>
      <c r="G51" t="s">
        <v>20</v>
      </c>
      <c r="H51">
        <v>77000</v>
      </c>
      <c r="I51">
        <v>0</v>
      </c>
      <c r="J51">
        <v>77000</v>
      </c>
      <c r="O51" t="s">
        <v>21</v>
      </c>
      <c r="P51" t="s">
        <v>4348</v>
      </c>
    </row>
    <row r="52" spans="1:16" x14ac:dyDescent="0.3">
      <c r="A52" t="s">
        <v>4349</v>
      </c>
      <c r="C52" t="s">
        <v>4236</v>
      </c>
      <c r="D52" t="s">
        <v>404</v>
      </c>
      <c r="E52" t="s">
        <v>19</v>
      </c>
      <c r="F52" t="s">
        <v>619</v>
      </c>
      <c r="G52" t="s">
        <v>20</v>
      </c>
      <c r="H52">
        <v>77176</v>
      </c>
      <c r="I52">
        <v>0</v>
      </c>
      <c r="J52">
        <v>0</v>
      </c>
      <c r="O52" t="s">
        <v>21</v>
      </c>
      <c r="P52" t="s">
        <v>4350</v>
      </c>
    </row>
    <row r="53" spans="1:16" x14ac:dyDescent="0.3">
      <c r="A53" t="s">
        <v>4351</v>
      </c>
      <c r="B53" s="1" t="s">
        <v>4352</v>
      </c>
      <c r="C53" t="s">
        <v>4236</v>
      </c>
      <c r="D53" t="s">
        <v>1203</v>
      </c>
      <c r="E53" t="s">
        <v>19</v>
      </c>
      <c r="G53" t="s">
        <v>20</v>
      </c>
      <c r="H53">
        <v>111000</v>
      </c>
      <c r="I53">
        <v>25</v>
      </c>
      <c r="J53">
        <v>0</v>
      </c>
      <c r="O53" t="s">
        <v>21</v>
      </c>
      <c r="P53" t="s">
        <v>4353</v>
      </c>
    </row>
    <row r="54" spans="1:16" x14ac:dyDescent="0.3">
      <c r="A54" t="s">
        <v>4354</v>
      </c>
      <c r="C54" t="s">
        <v>4236</v>
      </c>
      <c r="D54" t="s">
        <v>408</v>
      </c>
      <c r="E54" t="s">
        <v>409</v>
      </c>
      <c r="G54" t="s">
        <v>20</v>
      </c>
      <c r="H54">
        <v>55500</v>
      </c>
      <c r="I54">
        <v>157.5</v>
      </c>
      <c r="J54">
        <v>55342.5</v>
      </c>
      <c r="O54" t="s">
        <v>21</v>
      </c>
      <c r="P54" t="s">
        <v>4355</v>
      </c>
    </row>
    <row r="55" spans="1:16" x14ac:dyDescent="0.3">
      <c r="A55" t="s">
        <v>4356</v>
      </c>
      <c r="C55" t="s">
        <v>4236</v>
      </c>
      <c r="D55" t="s">
        <v>408</v>
      </c>
      <c r="E55" t="s">
        <v>409</v>
      </c>
      <c r="G55" t="s">
        <v>20</v>
      </c>
      <c r="H55">
        <v>4000</v>
      </c>
      <c r="I55">
        <v>21.5</v>
      </c>
      <c r="J55">
        <v>3978.5</v>
      </c>
      <c r="O55" t="s">
        <v>412</v>
      </c>
      <c r="P55" t="s">
        <v>4357</v>
      </c>
    </row>
    <row r="56" spans="1:16" x14ac:dyDescent="0.3">
      <c r="A56" t="s">
        <v>4358</v>
      </c>
      <c r="C56" t="s">
        <v>4236</v>
      </c>
      <c r="D56" t="s">
        <v>408</v>
      </c>
      <c r="E56" t="s">
        <v>409</v>
      </c>
      <c r="G56" t="s">
        <v>20</v>
      </c>
      <c r="H56">
        <v>5000</v>
      </c>
      <c r="I56" s="1" t="s">
        <v>1275</v>
      </c>
      <c r="J56">
        <v>4973.125</v>
      </c>
      <c r="O56" t="s">
        <v>412</v>
      </c>
      <c r="P56" t="s">
        <v>4359</v>
      </c>
    </row>
    <row r="57" spans="1:16" x14ac:dyDescent="0.3">
      <c r="A57" t="s">
        <v>4360</v>
      </c>
      <c r="C57" t="s">
        <v>4236</v>
      </c>
      <c r="D57" t="s">
        <v>408</v>
      </c>
      <c r="E57" t="s">
        <v>409</v>
      </c>
      <c r="G57" t="s">
        <v>20</v>
      </c>
      <c r="H57">
        <v>5000</v>
      </c>
      <c r="I57" s="1" t="s">
        <v>1275</v>
      </c>
      <c r="J57">
        <v>4973.125</v>
      </c>
      <c r="O57" t="s">
        <v>412</v>
      </c>
      <c r="P57" t="s">
        <v>4361</v>
      </c>
    </row>
    <row r="58" spans="1:16" x14ac:dyDescent="0.3">
      <c r="A58" t="s">
        <v>4362</v>
      </c>
      <c r="C58" t="s">
        <v>4236</v>
      </c>
      <c r="D58" t="s">
        <v>408</v>
      </c>
      <c r="E58" t="s">
        <v>409</v>
      </c>
      <c r="G58" t="s">
        <v>20</v>
      </c>
      <c r="H58">
        <v>20400</v>
      </c>
      <c r="I58">
        <v>157.5</v>
      </c>
      <c r="J58">
        <v>20242.5</v>
      </c>
      <c r="O58" t="s">
        <v>21</v>
      </c>
      <c r="P58" t="s">
        <v>4363</v>
      </c>
    </row>
    <row r="59" spans="1:16" x14ac:dyDescent="0.3">
      <c r="A59" t="s">
        <v>4364</v>
      </c>
      <c r="C59" t="s">
        <v>4236</v>
      </c>
      <c r="D59" t="s">
        <v>408</v>
      </c>
      <c r="E59" t="s">
        <v>409</v>
      </c>
      <c r="G59" t="s">
        <v>20</v>
      </c>
      <c r="H59">
        <v>25400</v>
      </c>
      <c r="I59">
        <v>157.5</v>
      </c>
      <c r="J59">
        <v>25242.5</v>
      </c>
      <c r="O59" t="s">
        <v>412</v>
      </c>
      <c r="P59" t="s">
        <v>4365</v>
      </c>
    </row>
    <row r="60" spans="1:16" x14ac:dyDescent="0.3">
      <c r="A60" t="s">
        <v>4366</v>
      </c>
      <c r="C60" t="s">
        <v>4236</v>
      </c>
      <c r="D60" t="s">
        <v>408</v>
      </c>
      <c r="E60" t="s">
        <v>409</v>
      </c>
      <c r="G60" t="s">
        <v>20</v>
      </c>
      <c r="H60">
        <v>600</v>
      </c>
      <c r="I60" s="1" t="s">
        <v>4178</v>
      </c>
      <c r="J60">
        <v>596.77499999999998</v>
      </c>
      <c r="O60" t="s">
        <v>21</v>
      </c>
      <c r="P60" t="s">
        <v>4367</v>
      </c>
    </row>
    <row r="61" spans="1:16" x14ac:dyDescent="0.3">
      <c r="A61" t="s">
        <v>4368</v>
      </c>
      <c r="C61" t="s">
        <v>4236</v>
      </c>
      <c r="D61" t="s">
        <v>408</v>
      </c>
      <c r="E61" t="s">
        <v>409</v>
      </c>
      <c r="G61" t="s">
        <v>20</v>
      </c>
      <c r="H61">
        <v>1000</v>
      </c>
      <c r="I61">
        <v>5.375</v>
      </c>
      <c r="J61">
        <v>994.625</v>
      </c>
      <c r="O61" t="s">
        <v>21</v>
      </c>
      <c r="P61" t="s">
        <v>4369</v>
      </c>
    </row>
    <row r="62" spans="1:16" x14ac:dyDescent="0.3">
      <c r="A62" t="s">
        <v>4370</v>
      </c>
      <c r="C62" t="s">
        <v>4236</v>
      </c>
      <c r="D62" t="s">
        <v>404</v>
      </c>
      <c r="E62" t="s">
        <v>19</v>
      </c>
      <c r="F62" t="s">
        <v>630</v>
      </c>
      <c r="G62" t="s">
        <v>20</v>
      </c>
      <c r="H62">
        <v>110827</v>
      </c>
      <c r="I62">
        <v>0</v>
      </c>
      <c r="J62">
        <v>0</v>
      </c>
      <c r="O62" t="s">
        <v>21</v>
      </c>
      <c r="P62" t="s">
        <v>4371</v>
      </c>
    </row>
    <row r="63" spans="1:16" x14ac:dyDescent="0.3">
      <c r="A63" t="s">
        <v>4372</v>
      </c>
      <c r="C63" t="s">
        <v>4236</v>
      </c>
      <c r="D63" t="s">
        <v>408</v>
      </c>
      <c r="E63" t="s">
        <v>409</v>
      </c>
      <c r="G63" t="s">
        <v>20</v>
      </c>
      <c r="H63">
        <v>20500</v>
      </c>
      <c r="I63">
        <v>157.5</v>
      </c>
      <c r="J63">
        <v>20342.5</v>
      </c>
      <c r="O63" t="s">
        <v>21</v>
      </c>
      <c r="P63" t="s">
        <v>4373</v>
      </c>
    </row>
    <row r="64" spans="1:16" x14ac:dyDescent="0.3">
      <c r="A64" t="s">
        <v>4374</v>
      </c>
      <c r="C64" t="s">
        <v>4236</v>
      </c>
      <c r="D64" t="s">
        <v>408</v>
      </c>
      <c r="E64" t="s">
        <v>409</v>
      </c>
      <c r="G64" t="s">
        <v>20</v>
      </c>
      <c r="H64">
        <v>20900</v>
      </c>
      <c r="I64">
        <v>157.5</v>
      </c>
      <c r="J64">
        <v>20742.5</v>
      </c>
      <c r="O64" t="s">
        <v>412</v>
      </c>
      <c r="P64" t="s">
        <v>4375</v>
      </c>
    </row>
    <row r="65" spans="1:16" x14ac:dyDescent="0.3">
      <c r="A65" t="s">
        <v>4376</v>
      </c>
      <c r="C65" t="s">
        <v>4236</v>
      </c>
      <c r="D65" t="s">
        <v>408</v>
      </c>
      <c r="E65" t="s">
        <v>409</v>
      </c>
      <c r="G65" t="s">
        <v>20</v>
      </c>
      <c r="H65">
        <v>40000</v>
      </c>
      <c r="I65">
        <v>157.5</v>
      </c>
      <c r="J65">
        <v>39842.5</v>
      </c>
      <c r="O65" t="s">
        <v>21</v>
      </c>
      <c r="P65" t="s">
        <v>4377</v>
      </c>
    </row>
    <row r="66" spans="1:16" x14ac:dyDescent="0.3">
      <c r="A66" t="s">
        <v>4378</v>
      </c>
      <c r="C66" t="s">
        <v>4236</v>
      </c>
      <c r="D66" t="s">
        <v>408</v>
      </c>
      <c r="E66" t="s">
        <v>409</v>
      </c>
      <c r="G66" t="s">
        <v>20</v>
      </c>
      <c r="H66">
        <v>50800</v>
      </c>
      <c r="I66">
        <v>157.5</v>
      </c>
      <c r="J66">
        <v>50642.5</v>
      </c>
      <c r="O66" t="s">
        <v>21</v>
      </c>
      <c r="P66" t="s">
        <v>4379</v>
      </c>
    </row>
    <row r="67" spans="1:16" x14ac:dyDescent="0.3">
      <c r="A67" t="s">
        <v>4380</v>
      </c>
      <c r="C67" t="s">
        <v>4236</v>
      </c>
      <c r="D67" t="s">
        <v>408</v>
      </c>
      <c r="E67" t="s">
        <v>409</v>
      </c>
      <c r="G67" t="s">
        <v>20</v>
      </c>
      <c r="H67">
        <v>20800</v>
      </c>
      <c r="I67">
        <v>157.5</v>
      </c>
      <c r="J67">
        <v>20642.5</v>
      </c>
      <c r="O67" t="s">
        <v>412</v>
      </c>
      <c r="P67" t="s">
        <v>4381</v>
      </c>
    </row>
    <row r="68" spans="1:16" x14ac:dyDescent="0.3">
      <c r="A68" t="s">
        <v>4382</v>
      </c>
      <c r="C68" t="s">
        <v>4236</v>
      </c>
      <c r="D68" t="s">
        <v>408</v>
      </c>
      <c r="E68" t="s">
        <v>409</v>
      </c>
      <c r="G68" t="s">
        <v>20</v>
      </c>
      <c r="H68">
        <v>100000</v>
      </c>
      <c r="I68">
        <v>157.5</v>
      </c>
      <c r="J68">
        <v>99842.5</v>
      </c>
      <c r="O68" t="s">
        <v>412</v>
      </c>
      <c r="P68" t="s">
        <v>4383</v>
      </c>
    </row>
    <row r="69" spans="1:16" x14ac:dyDescent="0.3">
      <c r="A69" t="s">
        <v>4384</v>
      </c>
      <c r="B69" s="1" t="s">
        <v>4385</v>
      </c>
      <c r="C69" t="s">
        <v>4236</v>
      </c>
      <c r="D69" t="s">
        <v>1203</v>
      </c>
      <c r="E69" t="s">
        <v>19</v>
      </c>
      <c r="G69" t="s">
        <v>20</v>
      </c>
      <c r="H69">
        <v>85000</v>
      </c>
      <c r="I69">
        <v>25</v>
      </c>
      <c r="J69">
        <v>0</v>
      </c>
      <c r="O69" t="s">
        <v>21</v>
      </c>
      <c r="P69" t="s">
        <v>4386</v>
      </c>
    </row>
    <row r="70" spans="1:16" x14ac:dyDescent="0.3">
      <c r="A70" t="s">
        <v>4387</v>
      </c>
      <c r="C70" t="s">
        <v>4236</v>
      </c>
      <c r="D70" t="s">
        <v>408</v>
      </c>
      <c r="E70" t="s">
        <v>409</v>
      </c>
      <c r="G70" t="s">
        <v>20</v>
      </c>
      <c r="H70">
        <v>10000</v>
      </c>
      <c r="I70" s="1" t="s">
        <v>1432</v>
      </c>
      <c r="J70">
        <v>9946.25</v>
      </c>
      <c r="O70" t="s">
        <v>412</v>
      </c>
      <c r="P70" t="s">
        <v>4388</v>
      </c>
    </row>
    <row r="71" spans="1:16" x14ac:dyDescent="0.3">
      <c r="A71" t="s">
        <v>4389</v>
      </c>
      <c r="C71" t="s">
        <v>4236</v>
      </c>
      <c r="D71" t="s">
        <v>404</v>
      </c>
      <c r="E71" t="s">
        <v>19</v>
      </c>
      <c r="F71" t="s">
        <v>698</v>
      </c>
      <c r="G71" t="s">
        <v>20</v>
      </c>
      <c r="H71">
        <v>30342</v>
      </c>
      <c r="I71">
        <v>0</v>
      </c>
      <c r="J71">
        <v>0</v>
      </c>
      <c r="O71" t="s">
        <v>21</v>
      </c>
      <c r="P71" t="s">
        <v>4390</v>
      </c>
    </row>
    <row r="72" spans="1:16" x14ac:dyDescent="0.3">
      <c r="A72" t="s">
        <v>4391</v>
      </c>
      <c r="C72" t="s">
        <v>4236</v>
      </c>
      <c r="D72" t="s">
        <v>408</v>
      </c>
      <c r="E72" t="s">
        <v>409</v>
      </c>
      <c r="G72" t="s">
        <v>20</v>
      </c>
      <c r="H72">
        <v>30500</v>
      </c>
      <c r="I72">
        <v>157.5</v>
      </c>
      <c r="J72">
        <v>30342.5</v>
      </c>
      <c r="O72" t="s">
        <v>21</v>
      </c>
      <c r="P72" t="s">
        <v>4392</v>
      </c>
    </row>
    <row r="73" spans="1:16" x14ac:dyDescent="0.3">
      <c r="A73" t="s">
        <v>4393</v>
      </c>
      <c r="C73" t="s">
        <v>4236</v>
      </c>
      <c r="D73" t="s">
        <v>1203</v>
      </c>
      <c r="E73" t="s">
        <v>19</v>
      </c>
      <c r="G73" t="s">
        <v>20</v>
      </c>
      <c r="H73">
        <v>55000</v>
      </c>
      <c r="I73">
        <v>25</v>
      </c>
      <c r="J73">
        <v>0</v>
      </c>
      <c r="O73" t="s">
        <v>412</v>
      </c>
      <c r="P73" t="s">
        <v>4394</v>
      </c>
    </row>
    <row r="74" spans="1:16" x14ac:dyDescent="0.3">
      <c r="A74" t="s">
        <v>4395</v>
      </c>
      <c r="C74" t="s">
        <v>4236</v>
      </c>
      <c r="D74" t="s">
        <v>1203</v>
      </c>
      <c r="E74" t="s">
        <v>19</v>
      </c>
      <c r="G74" t="s">
        <v>20</v>
      </c>
      <c r="H74">
        <v>55000</v>
      </c>
      <c r="I74">
        <v>25</v>
      </c>
      <c r="J74">
        <v>0</v>
      </c>
      <c r="O74" t="s">
        <v>412</v>
      </c>
      <c r="P74" t="s">
        <v>4396</v>
      </c>
    </row>
    <row r="75" spans="1:16" x14ac:dyDescent="0.3">
      <c r="A75" t="s">
        <v>4397</v>
      </c>
      <c r="B75" s="1" t="s">
        <v>4398</v>
      </c>
      <c r="C75" t="s">
        <v>4236</v>
      </c>
      <c r="D75" t="s">
        <v>1203</v>
      </c>
      <c r="E75" t="s">
        <v>19</v>
      </c>
      <c r="G75" t="s">
        <v>20</v>
      </c>
      <c r="H75">
        <v>20000</v>
      </c>
      <c r="I75">
        <v>25</v>
      </c>
      <c r="J75">
        <v>0</v>
      </c>
      <c r="O75" t="s">
        <v>21</v>
      </c>
      <c r="P75" t="s">
        <v>4399</v>
      </c>
    </row>
    <row r="76" spans="1:16" x14ac:dyDescent="0.3">
      <c r="A76" t="s">
        <v>4400</v>
      </c>
      <c r="C76" t="s">
        <v>4236</v>
      </c>
      <c r="D76" t="s">
        <v>1203</v>
      </c>
      <c r="E76" t="s">
        <v>19</v>
      </c>
      <c r="G76" t="s">
        <v>20</v>
      </c>
      <c r="H76">
        <v>75000</v>
      </c>
      <c r="I76">
        <v>25</v>
      </c>
      <c r="J76">
        <v>0</v>
      </c>
      <c r="O76" t="s">
        <v>412</v>
      </c>
      <c r="P76" t="s">
        <v>4401</v>
      </c>
    </row>
    <row r="77" spans="1:16" x14ac:dyDescent="0.3">
      <c r="A77" t="s">
        <v>4402</v>
      </c>
      <c r="C77" t="s">
        <v>4236</v>
      </c>
      <c r="D77" t="s">
        <v>404</v>
      </c>
      <c r="E77" t="s">
        <v>19</v>
      </c>
      <c r="F77" t="s">
        <v>1925</v>
      </c>
      <c r="G77" t="s">
        <v>20</v>
      </c>
      <c r="H77">
        <v>34042</v>
      </c>
      <c r="I77">
        <v>0</v>
      </c>
      <c r="J77">
        <v>0</v>
      </c>
      <c r="O77" t="s">
        <v>21</v>
      </c>
      <c r="P77" t="s">
        <v>4403</v>
      </c>
    </row>
    <row r="78" spans="1:16" x14ac:dyDescent="0.3">
      <c r="A78" t="s">
        <v>4404</v>
      </c>
      <c r="C78" t="s">
        <v>4236</v>
      </c>
      <c r="D78" t="s">
        <v>408</v>
      </c>
      <c r="E78" t="s">
        <v>409</v>
      </c>
      <c r="G78" t="s">
        <v>20</v>
      </c>
      <c r="H78">
        <v>34200</v>
      </c>
      <c r="I78">
        <v>157.5</v>
      </c>
      <c r="J78">
        <v>34042.5</v>
      </c>
      <c r="O78" t="s">
        <v>21</v>
      </c>
      <c r="P78" t="s">
        <v>4405</v>
      </c>
    </row>
    <row r="79" spans="1:16" x14ac:dyDescent="0.3">
      <c r="A79" t="s">
        <v>4406</v>
      </c>
      <c r="C79" t="s">
        <v>4236</v>
      </c>
      <c r="D79" t="s">
        <v>408</v>
      </c>
      <c r="E79" t="s">
        <v>409</v>
      </c>
      <c r="G79" t="s">
        <v>20</v>
      </c>
      <c r="H79">
        <v>54000</v>
      </c>
      <c r="I79">
        <v>157.5</v>
      </c>
      <c r="J79">
        <v>53842.5</v>
      </c>
      <c r="O79" t="s">
        <v>412</v>
      </c>
      <c r="P79" t="s">
        <v>4407</v>
      </c>
    </row>
    <row r="80" spans="1:16" x14ac:dyDescent="0.3">
      <c r="A80" t="s">
        <v>4408</v>
      </c>
      <c r="C80" t="s">
        <v>4236</v>
      </c>
      <c r="D80" t="s">
        <v>404</v>
      </c>
      <c r="E80" t="s">
        <v>19</v>
      </c>
      <c r="F80" t="s">
        <v>1937</v>
      </c>
      <c r="G80" t="s">
        <v>20</v>
      </c>
      <c r="H80">
        <v>20688</v>
      </c>
      <c r="I80">
        <v>0</v>
      </c>
      <c r="J80">
        <v>0</v>
      </c>
      <c r="O80" t="s">
        <v>21</v>
      </c>
      <c r="P80" t="s">
        <v>4409</v>
      </c>
    </row>
    <row r="81" spans="1:16" x14ac:dyDescent="0.3">
      <c r="A81" t="s">
        <v>4410</v>
      </c>
      <c r="C81" t="s">
        <v>4236</v>
      </c>
      <c r="D81" t="s">
        <v>408</v>
      </c>
      <c r="E81" t="s">
        <v>409</v>
      </c>
      <c r="G81" t="s">
        <v>20</v>
      </c>
      <c r="H81">
        <v>3000</v>
      </c>
      <c r="I81" s="1" t="s">
        <v>1393</v>
      </c>
      <c r="J81">
        <v>2983.875</v>
      </c>
      <c r="O81" t="s">
        <v>412</v>
      </c>
      <c r="P81" t="s">
        <v>4411</v>
      </c>
    </row>
    <row r="82" spans="1:16" x14ac:dyDescent="0.3">
      <c r="A82" t="e">
        <f>-KdD-YbfQONTqVLx_Ft27</f>
        <v>#NAME?</v>
      </c>
      <c r="C82" t="s">
        <v>4236</v>
      </c>
      <c r="D82" t="s">
        <v>408</v>
      </c>
      <c r="E82" t="s">
        <v>409</v>
      </c>
      <c r="G82" t="s">
        <v>20</v>
      </c>
      <c r="H82">
        <v>800</v>
      </c>
      <c r="I82">
        <v>4.3</v>
      </c>
      <c r="J82">
        <v>795.7</v>
      </c>
      <c r="O82" t="s">
        <v>21</v>
      </c>
      <c r="P82" t="s">
        <v>4412</v>
      </c>
    </row>
    <row r="83" spans="1:16" x14ac:dyDescent="0.3">
      <c r="A83" t="s">
        <v>4413</v>
      </c>
      <c r="C83" t="s">
        <v>4236</v>
      </c>
      <c r="D83" t="s">
        <v>408</v>
      </c>
      <c r="E83" t="s">
        <v>409</v>
      </c>
      <c r="G83" t="s">
        <v>20</v>
      </c>
      <c r="H83">
        <v>20000</v>
      </c>
      <c r="I83" s="1" t="s">
        <v>2155</v>
      </c>
      <c r="J83">
        <v>19892.5</v>
      </c>
      <c r="O83" t="s">
        <v>21</v>
      </c>
      <c r="P83" t="s">
        <v>4414</v>
      </c>
    </row>
    <row r="84" spans="1:16" x14ac:dyDescent="0.3">
      <c r="A84" t="s">
        <v>4415</v>
      </c>
      <c r="C84" t="s">
        <v>4236</v>
      </c>
      <c r="D84" t="s">
        <v>408</v>
      </c>
      <c r="E84" t="s">
        <v>409</v>
      </c>
      <c r="G84" t="s">
        <v>20</v>
      </c>
      <c r="H84">
        <v>25000</v>
      </c>
      <c r="I84">
        <v>107.5</v>
      </c>
      <c r="J84">
        <v>24892.5</v>
      </c>
      <c r="O84" t="s">
        <v>412</v>
      </c>
      <c r="P84" t="s">
        <v>4416</v>
      </c>
    </row>
    <row r="85" spans="1:16" x14ac:dyDescent="0.3">
      <c r="A85" t="s">
        <v>4417</v>
      </c>
      <c r="C85" t="s">
        <v>4236</v>
      </c>
      <c r="D85" t="s">
        <v>408</v>
      </c>
      <c r="E85" t="s">
        <v>409</v>
      </c>
      <c r="G85" t="s">
        <v>20</v>
      </c>
      <c r="H85">
        <v>72500</v>
      </c>
      <c r="I85">
        <v>107.5</v>
      </c>
      <c r="J85">
        <v>72392.5</v>
      </c>
      <c r="O85" t="s">
        <v>412</v>
      </c>
      <c r="P85" t="s">
        <v>4418</v>
      </c>
    </row>
    <row r="86" spans="1:16" x14ac:dyDescent="0.3">
      <c r="A86" t="s">
        <v>4419</v>
      </c>
      <c r="C86" t="s">
        <v>4236</v>
      </c>
      <c r="D86" t="s">
        <v>408</v>
      </c>
      <c r="E86" t="s">
        <v>409</v>
      </c>
      <c r="G86" t="s">
        <v>20</v>
      </c>
      <c r="H86">
        <v>72500</v>
      </c>
      <c r="I86">
        <v>107.5</v>
      </c>
      <c r="J86">
        <v>72392.5</v>
      </c>
      <c r="O86" t="s">
        <v>412</v>
      </c>
      <c r="P86" t="s">
        <v>4420</v>
      </c>
    </row>
    <row r="87" spans="1:16" x14ac:dyDescent="0.3">
      <c r="A87" t="s">
        <v>4421</v>
      </c>
      <c r="C87" t="s">
        <v>4236</v>
      </c>
      <c r="D87" t="s">
        <v>404</v>
      </c>
      <c r="E87" t="s">
        <v>19</v>
      </c>
      <c r="F87" t="s">
        <v>1956</v>
      </c>
      <c r="G87" t="s">
        <v>20</v>
      </c>
      <c r="H87">
        <v>20392</v>
      </c>
      <c r="I87">
        <v>0</v>
      </c>
      <c r="J87">
        <v>0</v>
      </c>
      <c r="O87" t="s">
        <v>21</v>
      </c>
      <c r="P87" t="s">
        <v>4422</v>
      </c>
    </row>
    <row r="88" spans="1:16" x14ac:dyDescent="0.3">
      <c r="A88" t="s">
        <v>4423</v>
      </c>
      <c r="C88" t="s">
        <v>4236</v>
      </c>
      <c r="D88" t="s">
        <v>408</v>
      </c>
      <c r="E88" t="s">
        <v>409</v>
      </c>
      <c r="G88" t="s">
        <v>20</v>
      </c>
      <c r="H88">
        <v>20500</v>
      </c>
      <c r="I88">
        <v>107.5</v>
      </c>
      <c r="J88">
        <v>20392.5</v>
      </c>
      <c r="O88" t="s">
        <v>21</v>
      </c>
      <c r="P88" t="s">
        <v>4424</v>
      </c>
    </row>
    <row r="89" spans="1:16" x14ac:dyDescent="0.3">
      <c r="A89" t="s">
        <v>4425</v>
      </c>
      <c r="B89" s="1" t="s">
        <v>4426</v>
      </c>
      <c r="C89" t="s">
        <v>4236</v>
      </c>
      <c r="D89" t="s">
        <v>1203</v>
      </c>
      <c r="E89" t="s">
        <v>19</v>
      </c>
      <c r="G89" t="s">
        <v>20</v>
      </c>
      <c r="H89">
        <v>89000</v>
      </c>
      <c r="I89">
        <v>25</v>
      </c>
      <c r="J89">
        <v>0</v>
      </c>
      <c r="O89" t="s">
        <v>21</v>
      </c>
      <c r="P89" t="s">
        <v>4427</v>
      </c>
    </row>
    <row r="90" spans="1:16" x14ac:dyDescent="0.3">
      <c r="A90" t="s">
        <v>4428</v>
      </c>
      <c r="C90" t="s">
        <v>4236</v>
      </c>
      <c r="D90" t="s">
        <v>408</v>
      </c>
      <c r="E90" t="s">
        <v>409</v>
      </c>
      <c r="G90" t="s">
        <v>20</v>
      </c>
      <c r="H90">
        <v>13000</v>
      </c>
      <c r="I90">
        <v>69.875</v>
      </c>
      <c r="J90">
        <v>12930.125</v>
      </c>
      <c r="O90" t="s">
        <v>412</v>
      </c>
      <c r="P90" t="s">
        <v>4429</v>
      </c>
    </row>
    <row r="91" spans="1:16" x14ac:dyDescent="0.3">
      <c r="A91" t="s">
        <v>4430</v>
      </c>
      <c r="C91" t="s">
        <v>4236</v>
      </c>
      <c r="D91" t="s">
        <v>408</v>
      </c>
      <c r="E91" t="s">
        <v>409</v>
      </c>
      <c r="G91" t="s">
        <v>20</v>
      </c>
      <c r="H91">
        <v>13000</v>
      </c>
      <c r="I91">
        <v>69.875</v>
      </c>
      <c r="J91">
        <v>12930.125</v>
      </c>
      <c r="O91" t="s">
        <v>412</v>
      </c>
      <c r="P91" t="s">
        <v>4431</v>
      </c>
    </row>
    <row r="92" spans="1:16" x14ac:dyDescent="0.3">
      <c r="A92" t="s">
        <v>4432</v>
      </c>
      <c r="C92" t="s">
        <v>4236</v>
      </c>
      <c r="D92" t="s">
        <v>408</v>
      </c>
      <c r="E92" t="s">
        <v>409</v>
      </c>
      <c r="G92" t="s">
        <v>20</v>
      </c>
      <c r="H92">
        <v>13000</v>
      </c>
      <c r="I92">
        <v>69.875</v>
      </c>
      <c r="J92">
        <v>12930.125</v>
      </c>
      <c r="O92" t="s">
        <v>412</v>
      </c>
      <c r="P92" t="s">
        <v>4433</v>
      </c>
    </row>
    <row r="93" spans="1:16" x14ac:dyDescent="0.3">
      <c r="A93" t="s">
        <v>4434</v>
      </c>
      <c r="C93" t="s">
        <v>4236</v>
      </c>
      <c r="D93" t="s">
        <v>404</v>
      </c>
      <c r="E93" t="s">
        <v>19</v>
      </c>
      <c r="F93" t="s">
        <v>796</v>
      </c>
      <c r="G93" t="s">
        <v>20</v>
      </c>
      <c r="H93">
        <v>49892</v>
      </c>
      <c r="I93">
        <v>0</v>
      </c>
      <c r="J93">
        <v>0</v>
      </c>
      <c r="O93" t="s">
        <v>21</v>
      </c>
      <c r="P93" t="s">
        <v>4435</v>
      </c>
    </row>
    <row r="94" spans="1:16" x14ac:dyDescent="0.3">
      <c r="A94" t="s">
        <v>4436</v>
      </c>
      <c r="C94" t="s">
        <v>4236</v>
      </c>
      <c r="D94" t="s">
        <v>408</v>
      </c>
      <c r="E94" t="s">
        <v>409</v>
      </c>
      <c r="G94" t="s">
        <v>20</v>
      </c>
      <c r="H94">
        <v>50000</v>
      </c>
      <c r="I94">
        <v>107.5</v>
      </c>
      <c r="J94">
        <v>49892.5</v>
      </c>
      <c r="O94" t="s">
        <v>21</v>
      </c>
      <c r="P94" t="s">
        <v>4437</v>
      </c>
    </row>
    <row r="95" spans="1:16" x14ac:dyDescent="0.3">
      <c r="A95" t="s">
        <v>4438</v>
      </c>
      <c r="C95" t="s">
        <v>4236</v>
      </c>
      <c r="D95" t="s">
        <v>408</v>
      </c>
      <c r="E95" t="s">
        <v>409</v>
      </c>
      <c r="G95" t="s">
        <v>20</v>
      </c>
      <c r="H95">
        <v>10600</v>
      </c>
      <c r="I95" s="1" t="s">
        <v>4439</v>
      </c>
      <c r="J95">
        <v>10543.025</v>
      </c>
      <c r="O95" t="s">
        <v>412</v>
      </c>
      <c r="P95" t="s">
        <v>4440</v>
      </c>
    </row>
    <row r="96" spans="1:16" x14ac:dyDescent="0.3">
      <c r="A96" t="s">
        <v>4441</v>
      </c>
      <c r="C96" t="s">
        <v>4236</v>
      </c>
      <c r="D96" t="s">
        <v>408</v>
      </c>
      <c r="E96" t="s">
        <v>409</v>
      </c>
      <c r="G96" t="s">
        <v>20</v>
      </c>
      <c r="H96">
        <v>10600</v>
      </c>
      <c r="I96" s="1" t="s">
        <v>4439</v>
      </c>
      <c r="J96">
        <v>10543.025</v>
      </c>
      <c r="O96" t="s">
        <v>412</v>
      </c>
      <c r="P96" t="s">
        <v>4442</v>
      </c>
    </row>
    <row r="97" spans="1:16" x14ac:dyDescent="0.3">
      <c r="A97" t="s">
        <v>4443</v>
      </c>
      <c r="C97" t="s">
        <v>4236</v>
      </c>
      <c r="D97" t="s">
        <v>408</v>
      </c>
      <c r="E97" t="s">
        <v>409</v>
      </c>
      <c r="G97" t="s">
        <v>20</v>
      </c>
      <c r="H97">
        <v>23000</v>
      </c>
      <c r="I97">
        <v>107.5</v>
      </c>
      <c r="J97">
        <v>22892.5</v>
      </c>
      <c r="O97" t="s">
        <v>412</v>
      </c>
      <c r="P97" t="s">
        <v>4444</v>
      </c>
    </row>
    <row r="98" spans="1:16" x14ac:dyDescent="0.3">
      <c r="A98" t="s">
        <v>4445</v>
      </c>
      <c r="C98" t="s">
        <v>4236</v>
      </c>
      <c r="D98" t="s">
        <v>408</v>
      </c>
      <c r="E98" t="s">
        <v>409</v>
      </c>
      <c r="G98" t="s">
        <v>20</v>
      </c>
      <c r="H98">
        <v>24000</v>
      </c>
      <c r="I98">
        <v>107.5</v>
      </c>
      <c r="J98">
        <v>23892.5</v>
      </c>
      <c r="O98" t="s">
        <v>412</v>
      </c>
      <c r="P98" t="s">
        <v>4446</v>
      </c>
    </row>
    <row r="99" spans="1:16" x14ac:dyDescent="0.3">
      <c r="A99" t="s">
        <v>4447</v>
      </c>
      <c r="C99" t="s">
        <v>4236</v>
      </c>
      <c r="D99" t="s">
        <v>408</v>
      </c>
      <c r="E99" t="s">
        <v>409</v>
      </c>
      <c r="G99" t="s">
        <v>20</v>
      </c>
      <c r="H99">
        <v>24000</v>
      </c>
      <c r="I99">
        <v>107.5</v>
      </c>
      <c r="J99">
        <v>23892.5</v>
      </c>
      <c r="O99" t="s">
        <v>412</v>
      </c>
      <c r="P99" t="s">
        <v>4448</v>
      </c>
    </row>
    <row r="100" spans="1:16" x14ac:dyDescent="0.3">
      <c r="A100" t="s">
        <v>4449</v>
      </c>
      <c r="C100" t="s">
        <v>4236</v>
      </c>
      <c r="D100" t="s">
        <v>404</v>
      </c>
      <c r="E100" t="s">
        <v>19</v>
      </c>
      <c r="F100" t="s">
        <v>845</v>
      </c>
      <c r="G100" t="s">
        <v>20</v>
      </c>
      <c r="H100">
        <v>13526</v>
      </c>
      <c r="I100">
        <v>0</v>
      </c>
      <c r="J100">
        <v>0</v>
      </c>
      <c r="O100" t="s">
        <v>21</v>
      </c>
      <c r="P100" t="s">
        <v>4450</v>
      </c>
    </row>
    <row r="101" spans="1:16" x14ac:dyDescent="0.3">
      <c r="A101" t="s">
        <v>4451</v>
      </c>
      <c r="C101" t="s">
        <v>4236</v>
      </c>
      <c r="D101" t="s">
        <v>29</v>
      </c>
      <c r="E101" t="s">
        <v>409</v>
      </c>
      <c r="G101" t="s">
        <v>20</v>
      </c>
      <c r="H101">
        <v>10000</v>
      </c>
      <c r="I101" s="1" t="s">
        <v>1432</v>
      </c>
      <c r="J101">
        <v>9946.25</v>
      </c>
      <c r="O101" t="s">
        <v>21</v>
      </c>
      <c r="P101" t="s">
        <v>4452</v>
      </c>
    </row>
    <row r="102" spans="1:16" x14ac:dyDescent="0.3">
      <c r="A102" t="s">
        <v>4453</v>
      </c>
      <c r="C102" t="s">
        <v>4236</v>
      </c>
      <c r="D102" t="s">
        <v>29</v>
      </c>
      <c r="E102" t="s">
        <v>409</v>
      </c>
      <c r="G102" t="s">
        <v>20</v>
      </c>
      <c r="H102">
        <v>3600</v>
      </c>
      <c r="I102">
        <v>19.350000000000001</v>
      </c>
      <c r="J102">
        <v>3580.65</v>
      </c>
      <c r="O102" t="s">
        <v>21</v>
      </c>
      <c r="P102" t="s">
        <v>4454</v>
      </c>
    </row>
    <row r="103" spans="1:16" x14ac:dyDescent="0.3">
      <c r="A103" t="s">
        <v>4455</v>
      </c>
      <c r="C103" t="s">
        <v>4236</v>
      </c>
      <c r="D103" t="s">
        <v>404</v>
      </c>
      <c r="E103" t="s">
        <v>19</v>
      </c>
      <c r="F103" t="s">
        <v>2066</v>
      </c>
      <c r="G103" t="s">
        <v>20</v>
      </c>
      <c r="H103">
        <v>24965</v>
      </c>
      <c r="I103">
        <v>0</v>
      </c>
      <c r="J103">
        <v>0</v>
      </c>
      <c r="O103" t="s">
        <v>21</v>
      </c>
      <c r="P103" t="s">
        <v>4456</v>
      </c>
    </row>
    <row r="104" spans="1:16" x14ac:dyDescent="0.3">
      <c r="A104" t="s">
        <v>4457</v>
      </c>
      <c r="B104" s="1" t="s">
        <v>4458</v>
      </c>
      <c r="C104" t="s">
        <v>4236</v>
      </c>
      <c r="D104" t="s">
        <v>1203</v>
      </c>
      <c r="E104" t="s">
        <v>19</v>
      </c>
      <c r="G104" t="s">
        <v>20</v>
      </c>
      <c r="H104">
        <v>54000</v>
      </c>
      <c r="I104">
        <v>25</v>
      </c>
      <c r="J104">
        <v>0</v>
      </c>
      <c r="O104" t="s">
        <v>21</v>
      </c>
      <c r="P104" t="s">
        <v>4459</v>
      </c>
    </row>
    <row r="105" spans="1:16" x14ac:dyDescent="0.3">
      <c r="A105" t="s">
        <v>4460</v>
      </c>
      <c r="C105" t="s">
        <v>4236</v>
      </c>
      <c r="D105" t="s">
        <v>29</v>
      </c>
      <c r="E105" t="s">
        <v>409</v>
      </c>
      <c r="G105" t="s">
        <v>20</v>
      </c>
      <c r="H105">
        <v>20000</v>
      </c>
      <c r="I105" s="1" t="s">
        <v>2155</v>
      </c>
      <c r="J105">
        <v>19892.5</v>
      </c>
      <c r="O105" t="s">
        <v>21</v>
      </c>
      <c r="P105" t="s">
        <v>4461</v>
      </c>
    </row>
    <row r="106" spans="1:16" x14ac:dyDescent="0.3">
      <c r="A106" t="s">
        <v>4462</v>
      </c>
      <c r="C106" t="s">
        <v>4236</v>
      </c>
      <c r="D106" t="s">
        <v>29</v>
      </c>
      <c r="E106" t="s">
        <v>409</v>
      </c>
      <c r="G106" t="s">
        <v>20</v>
      </c>
      <c r="H106">
        <v>5100</v>
      </c>
      <c r="I106">
        <v>27.412500000000001</v>
      </c>
      <c r="J106">
        <v>5072.5874999999996</v>
      </c>
      <c r="O106" t="s">
        <v>21</v>
      </c>
      <c r="P106" t="s">
        <v>4463</v>
      </c>
    </row>
    <row r="107" spans="1:16" x14ac:dyDescent="0.3">
      <c r="A107" t="s">
        <v>4464</v>
      </c>
      <c r="C107" t="s">
        <v>4236</v>
      </c>
      <c r="D107" t="s">
        <v>408</v>
      </c>
      <c r="E107" t="s">
        <v>409</v>
      </c>
      <c r="G107" t="s">
        <v>20</v>
      </c>
      <c r="H107">
        <v>5000</v>
      </c>
      <c r="I107" s="1" t="s">
        <v>1275</v>
      </c>
      <c r="J107">
        <v>4973.125</v>
      </c>
      <c r="O107" t="s">
        <v>412</v>
      </c>
      <c r="P107" t="s">
        <v>4465</v>
      </c>
    </row>
    <row r="108" spans="1:16" x14ac:dyDescent="0.3">
      <c r="A108" t="s">
        <v>4466</v>
      </c>
      <c r="C108" t="s">
        <v>4236</v>
      </c>
      <c r="D108" t="s">
        <v>408</v>
      </c>
      <c r="E108" t="s">
        <v>409</v>
      </c>
      <c r="G108" t="s">
        <v>20</v>
      </c>
      <c r="H108">
        <v>5000</v>
      </c>
      <c r="I108" s="1" t="s">
        <v>1275</v>
      </c>
      <c r="J108">
        <v>4973.125</v>
      </c>
      <c r="O108" t="s">
        <v>412</v>
      </c>
      <c r="P108" t="s">
        <v>4467</v>
      </c>
    </row>
    <row r="109" spans="1:16" x14ac:dyDescent="0.3">
      <c r="A109" t="s">
        <v>4468</v>
      </c>
      <c r="C109" t="s">
        <v>4236</v>
      </c>
      <c r="D109" t="s">
        <v>404</v>
      </c>
      <c r="E109" t="s">
        <v>19</v>
      </c>
      <c r="F109" t="s">
        <v>858</v>
      </c>
      <c r="G109" t="s">
        <v>20</v>
      </c>
      <c r="H109">
        <v>11139</v>
      </c>
      <c r="I109">
        <v>0</v>
      </c>
      <c r="J109">
        <v>0</v>
      </c>
      <c r="O109" t="s">
        <v>21</v>
      </c>
      <c r="P109" t="s">
        <v>4469</v>
      </c>
    </row>
    <row r="110" spans="1:16" x14ac:dyDescent="0.3">
      <c r="A110" t="s">
        <v>4470</v>
      </c>
      <c r="C110" t="s">
        <v>4236</v>
      </c>
      <c r="D110" t="s">
        <v>29</v>
      </c>
      <c r="E110" t="s">
        <v>409</v>
      </c>
      <c r="G110" t="s">
        <v>20</v>
      </c>
      <c r="H110">
        <v>4100</v>
      </c>
      <c r="I110">
        <v>22.037500000000001</v>
      </c>
      <c r="J110">
        <v>4077.9625000000001</v>
      </c>
      <c r="O110" t="s">
        <v>21</v>
      </c>
      <c r="P110" t="s">
        <v>4471</v>
      </c>
    </row>
    <row r="111" spans="1:16" x14ac:dyDescent="0.3">
      <c r="A111" t="s">
        <v>4472</v>
      </c>
      <c r="C111" t="s">
        <v>4236</v>
      </c>
      <c r="D111" t="s">
        <v>29</v>
      </c>
      <c r="E111" t="s">
        <v>409</v>
      </c>
      <c r="G111" t="s">
        <v>20</v>
      </c>
      <c r="H111">
        <v>4000</v>
      </c>
      <c r="I111">
        <v>21.5</v>
      </c>
      <c r="J111">
        <v>3978.5</v>
      </c>
      <c r="O111" t="s">
        <v>21</v>
      </c>
      <c r="P111" t="s">
        <v>4473</v>
      </c>
    </row>
    <row r="112" spans="1:16" x14ac:dyDescent="0.3">
      <c r="A112" t="s">
        <v>4474</v>
      </c>
      <c r="C112" t="s">
        <v>4236</v>
      </c>
      <c r="D112" t="s">
        <v>29</v>
      </c>
      <c r="E112" t="s">
        <v>409</v>
      </c>
      <c r="G112" t="s">
        <v>20</v>
      </c>
      <c r="H112">
        <v>3100</v>
      </c>
      <c r="I112">
        <v>16.662500000000001</v>
      </c>
      <c r="J112">
        <v>3083.3375000000001</v>
      </c>
      <c r="O112" t="s">
        <v>21</v>
      </c>
      <c r="P112" t="s">
        <v>4475</v>
      </c>
    </row>
    <row r="113" spans="1:16" x14ac:dyDescent="0.3">
      <c r="A113" t="s">
        <v>4476</v>
      </c>
      <c r="C113" t="s">
        <v>4236</v>
      </c>
      <c r="D113" t="s">
        <v>404</v>
      </c>
      <c r="E113" t="s">
        <v>19</v>
      </c>
      <c r="F113" t="s">
        <v>892</v>
      </c>
      <c r="G113" t="s">
        <v>20</v>
      </c>
      <c r="H113">
        <v>11836</v>
      </c>
      <c r="I113">
        <v>0</v>
      </c>
      <c r="J113">
        <v>0</v>
      </c>
      <c r="O113" t="s">
        <v>21</v>
      </c>
      <c r="P113" t="s">
        <v>4477</v>
      </c>
    </row>
    <row r="114" spans="1:16" x14ac:dyDescent="0.3">
      <c r="A114" t="s">
        <v>4478</v>
      </c>
      <c r="C114" t="s">
        <v>4236</v>
      </c>
      <c r="D114" t="s">
        <v>29</v>
      </c>
      <c r="E114" t="s">
        <v>409</v>
      </c>
      <c r="G114" t="s">
        <v>20</v>
      </c>
      <c r="H114">
        <v>4900</v>
      </c>
      <c r="I114">
        <v>26.337499999999999</v>
      </c>
      <c r="J114">
        <v>4873.6625000000004</v>
      </c>
      <c r="O114" t="s">
        <v>21</v>
      </c>
      <c r="P114" t="s">
        <v>4479</v>
      </c>
    </row>
    <row r="115" spans="1:16" x14ac:dyDescent="0.3">
      <c r="A115" t="s">
        <v>4480</v>
      </c>
      <c r="C115" t="s">
        <v>4236</v>
      </c>
      <c r="D115" t="s">
        <v>408</v>
      </c>
      <c r="E115" t="s">
        <v>409</v>
      </c>
      <c r="G115" t="s">
        <v>20</v>
      </c>
      <c r="H115">
        <v>18000</v>
      </c>
      <c r="I115">
        <v>96.75</v>
      </c>
      <c r="J115">
        <v>17903.25</v>
      </c>
      <c r="O115" t="s">
        <v>412</v>
      </c>
      <c r="P115" t="s">
        <v>4481</v>
      </c>
    </row>
    <row r="116" spans="1:16" x14ac:dyDescent="0.3">
      <c r="A116" t="e">
        <f>-LoiVXO8a7rVk99j8lLDr</f>
        <v>#NAME?</v>
      </c>
      <c r="C116" t="s">
        <v>4236</v>
      </c>
      <c r="D116" t="s">
        <v>408</v>
      </c>
      <c r="E116" t="s">
        <v>409</v>
      </c>
      <c r="G116" t="s">
        <v>20</v>
      </c>
      <c r="H116">
        <v>19000</v>
      </c>
      <c r="I116">
        <v>102.125</v>
      </c>
      <c r="J116">
        <v>18897.875</v>
      </c>
      <c r="O116" t="s">
        <v>412</v>
      </c>
      <c r="P116" t="s">
        <v>4482</v>
      </c>
    </row>
    <row r="117" spans="1:16" x14ac:dyDescent="0.3">
      <c r="A117" t="s">
        <v>4483</v>
      </c>
      <c r="C117" t="s">
        <v>4236</v>
      </c>
      <c r="D117" t="s">
        <v>29</v>
      </c>
      <c r="E117" t="s">
        <v>409</v>
      </c>
      <c r="G117" t="s">
        <v>20</v>
      </c>
      <c r="H117">
        <v>2600</v>
      </c>
      <c r="I117">
        <v>13.975</v>
      </c>
      <c r="J117">
        <v>2586.0250000000001</v>
      </c>
      <c r="O117" t="s">
        <v>21</v>
      </c>
      <c r="P117" t="s">
        <v>4484</v>
      </c>
    </row>
    <row r="118" spans="1:16" x14ac:dyDescent="0.3">
      <c r="A118" t="s">
        <v>4485</v>
      </c>
      <c r="C118" t="s">
        <v>4236</v>
      </c>
      <c r="D118" t="s">
        <v>408</v>
      </c>
      <c r="E118" t="s">
        <v>409</v>
      </c>
      <c r="G118" t="s">
        <v>20</v>
      </c>
      <c r="H118">
        <v>19000</v>
      </c>
      <c r="I118">
        <v>102.125</v>
      </c>
      <c r="J118">
        <v>18897.875</v>
      </c>
      <c r="O118" t="s">
        <v>412</v>
      </c>
      <c r="P118" t="s">
        <v>4486</v>
      </c>
    </row>
    <row r="119" spans="1:16" x14ac:dyDescent="0.3">
      <c r="A119" t="s">
        <v>4487</v>
      </c>
      <c r="C119" t="s">
        <v>4236</v>
      </c>
      <c r="D119" t="s">
        <v>408</v>
      </c>
      <c r="E119" t="s">
        <v>409</v>
      </c>
      <c r="G119" t="s">
        <v>20</v>
      </c>
      <c r="H119">
        <v>19000</v>
      </c>
      <c r="I119">
        <v>102.125</v>
      </c>
      <c r="J119">
        <v>18897.875</v>
      </c>
      <c r="O119" t="s">
        <v>412</v>
      </c>
      <c r="P119" t="s">
        <v>4488</v>
      </c>
    </row>
    <row r="120" spans="1:16" x14ac:dyDescent="0.3">
      <c r="A120" t="s">
        <v>4489</v>
      </c>
      <c r="C120" t="s">
        <v>4236</v>
      </c>
      <c r="D120" t="s">
        <v>29</v>
      </c>
      <c r="E120" t="s">
        <v>409</v>
      </c>
      <c r="G120" t="s">
        <v>20</v>
      </c>
      <c r="H120">
        <v>2000</v>
      </c>
      <c r="I120">
        <v>10.75</v>
      </c>
      <c r="J120">
        <v>1989.25</v>
      </c>
      <c r="O120" t="s">
        <v>21</v>
      </c>
      <c r="P120" t="s">
        <v>4490</v>
      </c>
    </row>
    <row r="121" spans="1:16" x14ac:dyDescent="0.3">
      <c r="A121" t="s">
        <v>4491</v>
      </c>
      <c r="C121" t="s">
        <v>4236</v>
      </c>
      <c r="D121" t="s">
        <v>29</v>
      </c>
      <c r="E121" t="s">
        <v>409</v>
      </c>
      <c r="G121" t="s">
        <v>20</v>
      </c>
      <c r="H121">
        <v>2400</v>
      </c>
      <c r="I121" s="1" t="s">
        <v>4492</v>
      </c>
      <c r="J121">
        <v>2387.1</v>
      </c>
      <c r="O121" t="s">
        <v>21</v>
      </c>
      <c r="P121" t="s">
        <v>4493</v>
      </c>
    </row>
    <row r="122" spans="1:16" x14ac:dyDescent="0.3">
      <c r="A122" t="s">
        <v>4494</v>
      </c>
      <c r="C122" t="s">
        <v>4236</v>
      </c>
      <c r="D122" t="s">
        <v>404</v>
      </c>
      <c r="E122" t="s">
        <v>19</v>
      </c>
      <c r="F122" t="s">
        <v>903</v>
      </c>
      <c r="G122" t="s">
        <v>20</v>
      </c>
      <c r="H122">
        <v>12532</v>
      </c>
      <c r="I122">
        <v>0</v>
      </c>
      <c r="J122">
        <v>0</v>
      </c>
      <c r="O122" t="s">
        <v>21</v>
      </c>
      <c r="P122" t="s">
        <v>4495</v>
      </c>
    </row>
    <row r="123" spans="1:16" x14ac:dyDescent="0.3">
      <c r="A123" t="s">
        <v>4496</v>
      </c>
      <c r="C123" t="s">
        <v>4236</v>
      </c>
      <c r="D123" t="s">
        <v>29</v>
      </c>
      <c r="E123" t="s">
        <v>409</v>
      </c>
      <c r="G123" t="s">
        <v>20</v>
      </c>
      <c r="H123">
        <v>3600</v>
      </c>
      <c r="I123">
        <v>19.350000000000001</v>
      </c>
      <c r="J123">
        <v>3580.65</v>
      </c>
      <c r="O123" t="s">
        <v>21</v>
      </c>
      <c r="P123" t="s">
        <v>4497</v>
      </c>
    </row>
    <row r="124" spans="1:16" x14ac:dyDescent="0.3">
      <c r="A124" t="s">
        <v>4498</v>
      </c>
      <c r="C124" t="s">
        <v>4236</v>
      </c>
      <c r="D124" t="s">
        <v>29</v>
      </c>
      <c r="E124" t="s">
        <v>409</v>
      </c>
      <c r="G124" t="s">
        <v>20</v>
      </c>
      <c r="H124">
        <v>6200</v>
      </c>
      <c r="I124">
        <v>33.325000000000003</v>
      </c>
      <c r="J124">
        <v>6166.6750000000002</v>
      </c>
      <c r="O124" t="s">
        <v>21</v>
      </c>
      <c r="P124" t="s">
        <v>4499</v>
      </c>
    </row>
    <row r="125" spans="1:16" x14ac:dyDescent="0.3">
      <c r="A125" t="s">
        <v>4500</v>
      </c>
      <c r="C125" t="s">
        <v>4236</v>
      </c>
      <c r="D125" t="s">
        <v>29</v>
      </c>
      <c r="E125" t="s">
        <v>409</v>
      </c>
      <c r="G125" t="s">
        <v>20</v>
      </c>
      <c r="H125">
        <v>2800</v>
      </c>
      <c r="I125">
        <v>15.05</v>
      </c>
      <c r="J125">
        <v>2784.95</v>
      </c>
      <c r="O125" t="s">
        <v>21</v>
      </c>
      <c r="P125" t="s">
        <v>4501</v>
      </c>
    </row>
    <row r="126" spans="1:16" x14ac:dyDescent="0.3">
      <c r="A126" t="s">
        <v>4502</v>
      </c>
      <c r="C126" t="s">
        <v>4236</v>
      </c>
      <c r="D126" t="s">
        <v>404</v>
      </c>
      <c r="E126" t="s">
        <v>19</v>
      </c>
      <c r="F126" t="s">
        <v>920</v>
      </c>
      <c r="G126" t="s">
        <v>20</v>
      </c>
      <c r="H126">
        <v>18897</v>
      </c>
      <c r="I126">
        <v>0</v>
      </c>
      <c r="J126">
        <v>0</v>
      </c>
      <c r="O126" t="s">
        <v>21</v>
      </c>
      <c r="P126" t="s">
        <v>4503</v>
      </c>
    </row>
    <row r="127" spans="1:16" x14ac:dyDescent="0.3">
      <c r="A127" t="s">
        <v>4504</v>
      </c>
      <c r="C127" t="s">
        <v>4236</v>
      </c>
      <c r="D127" t="s">
        <v>29</v>
      </c>
      <c r="E127" t="s">
        <v>409</v>
      </c>
      <c r="G127" t="s">
        <v>20</v>
      </c>
      <c r="H127">
        <v>14000</v>
      </c>
      <c r="I127">
        <v>75.25</v>
      </c>
      <c r="J127">
        <v>13924.75</v>
      </c>
      <c r="O127" t="s">
        <v>21</v>
      </c>
      <c r="P127" t="s">
        <v>4505</v>
      </c>
    </row>
    <row r="128" spans="1:16" x14ac:dyDescent="0.3">
      <c r="A128" t="s">
        <v>4506</v>
      </c>
      <c r="C128" t="s">
        <v>4236</v>
      </c>
      <c r="D128" t="s">
        <v>29</v>
      </c>
      <c r="E128" t="s">
        <v>409</v>
      </c>
      <c r="G128" t="s">
        <v>20</v>
      </c>
      <c r="H128">
        <v>5000</v>
      </c>
      <c r="I128" s="1" t="s">
        <v>1275</v>
      </c>
      <c r="J128">
        <v>4973.125</v>
      </c>
      <c r="O128" t="s">
        <v>21</v>
      </c>
      <c r="P128" t="s">
        <v>4507</v>
      </c>
    </row>
    <row r="129" spans="1:16" x14ac:dyDescent="0.3">
      <c r="A129" t="s">
        <v>4508</v>
      </c>
      <c r="B129" s="1" t="s">
        <v>4509</v>
      </c>
      <c r="C129" t="s">
        <v>4236</v>
      </c>
      <c r="D129" t="s">
        <v>1203</v>
      </c>
      <c r="E129" t="s">
        <v>19</v>
      </c>
      <c r="G129" t="s">
        <v>20</v>
      </c>
      <c r="H129">
        <v>52000</v>
      </c>
      <c r="I129">
        <v>25</v>
      </c>
      <c r="J129">
        <v>0</v>
      </c>
      <c r="O129" t="s">
        <v>21</v>
      </c>
      <c r="P129" t="s">
        <v>4510</v>
      </c>
    </row>
    <row r="130" spans="1:16" x14ac:dyDescent="0.3">
      <c r="A130" t="s">
        <v>4511</v>
      </c>
      <c r="C130" t="s">
        <v>4236</v>
      </c>
      <c r="D130" t="s">
        <v>404</v>
      </c>
      <c r="E130" t="s">
        <v>19</v>
      </c>
      <c r="F130" t="s">
        <v>968</v>
      </c>
      <c r="G130" t="s">
        <v>20</v>
      </c>
      <c r="H130">
        <v>3083</v>
      </c>
      <c r="I130">
        <v>0</v>
      </c>
      <c r="J130">
        <v>0</v>
      </c>
      <c r="O130" t="s">
        <v>21</v>
      </c>
      <c r="P130" t="s">
        <v>4512</v>
      </c>
    </row>
    <row r="131" spans="1:16" x14ac:dyDescent="0.3">
      <c r="A131" t="s">
        <v>4513</v>
      </c>
      <c r="C131" t="s">
        <v>4236</v>
      </c>
      <c r="D131" t="s">
        <v>29</v>
      </c>
      <c r="E131" t="s">
        <v>409</v>
      </c>
      <c r="G131" t="s">
        <v>20</v>
      </c>
      <c r="H131">
        <v>3100</v>
      </c>
      <c r="I131">
        <v>16.662500000000001</v>
      </c>
      <c r="J131">
        <v>3083.3375000000001</v>
      </c>
      <c r="O131" t="s">
        <v>21</v>
      </c>
      <c r="P131" t="s">
        <v>4514</v>
      </c>
    </row>
    <row r="132" spans="1:16" x14ac:dyDescent="0.3">
      <c r="A132" t="s">
        <v>4515</v>
      </c>
      <c r="C132" t="s">
        <v>4236</v>
      </c>
      <c r="D132" t="s">
        <v>404</v>
      </c>
      <c r="E132" t="s">
        <v>19</v>
      </c>
      <c r="F132" t="s">
        <v>981</v>
      </c>
      <c r="G132" t="s">
        <v>20</v>
      </c>
      <c r="H132">
        <v>48892</v>
      </c>
      <c r="I132">
        <v>0</v>
      </c>
      <c r="J132">
        <v>0</v>
      </c>
      <c r="O132" t="s">
        <v>21</v>
      </c>
      <c r="P132" t="s">
        <v>4516</v>
      </c>
    </row>
    <row r="133" spans="1:16" x14ac:dyDescent="0.3">
      <c r="A133" t="s">
        <v>4517</v>
      </c>
      <c r="B133" s="1" t="s">
        <v>4518</v>
      </c>
      <c r="C133" t="s">
        <v>4236</v>
      </c>
      <c r="D133" t="s">
        <v>1203</v>
      </c>
      <c r="E133" t="s">
        <v>19</v>
      </c>
      <c r="G133" t="s">
        <v>20</v>
      </c>
      <c r="H133">
        <v>5000</v>
      </c>
      <c r="I133">
        <v>25</v>
      </c>
      <c r="J133">
        <v>0</v>
      </c>
      <c r="O133" t="s">
        <v>21</v>
      </c>
      <c r="P133" t="s">
        <v>4519</v>
      </c>
    </row>
    <row r="134" spans="1:16" x14ac:dyDescent="0.3">
      <c r="A134" t="s">
        <v>4520</v>
      </c>
      <c r="C134" t="s">
        <v>4236</v>
      </c>
      <c r="D134" t="s">
        <v>29</v>
      </c>
      <c r="E134" t="s">
        <v>409</v>
      </c>
      <c r="G134" t="s">
        <v>20</v>
      </c>
      <c r="H134">
        <v>49000</v>
      </c>
      <c r="I134">
        <v>107.5</v>
      </c>
      <c r="J134">
        <v>48892.5</v>
      </c>
      <c r="O134" t="s">
        <v>21</v>
      </c>
      <c r="P134" t="s">
        <v>4521</v>
      </c>
    </row>
    <row r="135" spans="1:16" x14ac:dyDescent="0.3">
      <c r="A135" t="s">
        <v>4522</v>
      </c>
      <c r="C135" t="s">
        <v>4236</v>
      </c>
      <c r="D135" t="s">
        <v>1116</v>
      </c>
      <c r="E135" t="s">
        <v>1117</v>
      </c>
      <c r="F135" t="s">
        <v>1118</v>
      </c>
      <c r="G135" t="s">
        <v>20</v>
      </c>
      <c r="H135">
        <v>0</v>
      </c>
      <c r="I135">
        <v>0</v>
      </c>
      <c r="J135">
        <v>0</v>
      </c>
      <c r="O135" t="s">
        <v>21</v>
      </c>
      <c r="P135" t="s">
        <v>4523</v>
      </c>
    </row>
    <row r="136" spans="1:16" x14ac:dyDescent="0.3">
      <c r="A136" t="s">
        <v>4524</v>
      </c>
      <c r="C136" t="s">
        <v>4236</v>
      </c>
      <c r="D136" t="s">
        <v>404</v>
      </c>
      <c r="E136" t="s">
        <v>19</v>
      </c>
      <c r="F136" t="s">
        <v>2349</v>
      </c>
      <c r="G136" t="s">
        <v>20</v>
      </c>
      <c r="H136">
        <v>4177</v>
      </c>
      <c r="I136">
        <v>0</v>
      </c>
      <c r="J136">
        <v>0</v>
      </c>
      <c r="O136" t="s">
        <v>21</v>
      </c>
      <c r="P136" t="s">
        <v>4525</v>
      </c>
    </row>
    <row r="137" spans="1:16" x14ac:dyDescent="0.3">
      <c r="A137" t="s">
        <v>4526</v>
      </c>
      <c r="C137" t="s">
        <v>4236</v>
      </c>
      <c r="D137" t="s">
        <v>408</v>
      </c>
      <c r="E137" t="s">
        <v>409</v>
      </c>
      <c r="G137" t="s">
        <v>20</v>
      </c>
      <c r="H137">
        <v>2500</v>
      </c>
      <c r="I137" s="1" t="s">
        <v>1255</v>
      </c>
      <c r="J137">
        <v>2486.5625</v>
      </c>
      <c r="O137" t="s">
        <v>21</v>
      </c>
      <c r="P137" t="s">
        <v>4527</v>
      </c>
    </row>
    <row r="138" spans="1:16" x14ac:dyDescent="0.3">
      <c r="A138" t="s">
        <v>4528</v>
      </c>
      <c r="C138" t="s">
        <v>4236</v>
      </c>
      <c r="D138" t="s">
        <v>408</v>
      </c>
      <c r="E138" t="s">
        <v>409</v>
      </c>
      <c r="G138" t="s">
        <v>20</v>
      </c>
      <c r="H138">
        <v>1700</v>
      </c>
      <c r="I138">
        <v>9.1374999999999993</v>
      </c>
      <c r="J138">
        <v>1690.8625</v>
      </c>
      <c r="O138" t="s">
        <v>21</v>
      </c>
      <c r="P138" t="s">
        <v>4529</v>
      </c>
    </row>
    <row r="139" spans="1:16" x14ac:dyDescent="0.3">
      <c r="A139" t="s">
        <v>4530</v>
      </c>
      <c r="C139" t="s">
        <v>4236</v>
      </c>
      <c r="D139" t="s">
        <v>404</v>
      </c>
      <c r="E139" t="s">
        <v>19</v>
      </c>
      <c r="F139" t="s">
        <v>1185</v>
      </c>
      <c r="G139" t="s">
        <v>20</v>
      </c>
      <c r="H139">
        <v>994</v>
      </c>
      <c r="I139">
        <v>0</v>
      </c>
      <c r="J139">
        <v>0</v>
      </c>
      <c r="O139" t="s">
        <v>21</v>
      </c>
      <c r="P139" t="s">
        <v>4531</v>
      </c>
    </row>
    <row r="140" spans="1:16" x14ac:dyDescent="0.3">
      <c r="A140" t="s">
        <v>4532</v>
      </c>
      <c r="C140" t="s">
        <v>4236</v>
      </c>
      <c r="D140" t="s">
        <v>408</v>
      </c>
      <c r="E140" t="s">
        <v>409</v>
      </c>
      <c r="G140" t="s">
        <v>20</v>
      </c>
      <c r="H140">
        <v>1000</v>
      </c>
      <c r="I140">
        <v>5.375</v>
      </c>
      <c r="J140">
        <v>994.625</v>
      </c>
      <c r="O140" t="s">
        <v>21</v>
      </c>
      <c r="P140" t="s">
        <v>4533</v>
      </c>
    </row>
    <row r="141" spans="1:16" x14ac:dyDescent="0.3">
      <c r="A141" t="s">
        <v>4534</v>
      </c>
      <c r="C141" t="s">
        <v>4236</v>
      </c>
      <c r="D141" t="s">
        <v>408</v>
      </c>
      <c r="E141" t="s">
        <v>409</v>
      </c>
      <c r="G141" t="s">
        <v>20</v>
      </c>
      <c r="H141">
        <v>500</v>
      </c>
      <c r="I141">
        <v>2.6875</v>
      </c>
      <c r="J141">
        <v>497.3125</v>
      </c>
      <c r="O141" t="s">
        <v>21</v>
      </c>
      <c r="P141" t="s">
        <v>4535</v>
      </c>
    </row>
    <row r="142" spans="1:16" x14ac:dyDescent="0.3">
      <c r="A142" t="s">
        <v>4536</v>
      </c>
      <c r="C142" t="s">
        <v>4236</v>
      </c>
      <c r="D142" t="s">
        <v>408</v>
      </c>
      <c r="E142" t="s">
        <v>409</v>
      </c>
      <c r="G142" t="s">
        <v>20</v>
      </c>
      <c r="H142">
        <v>500</v>
      </c>
      <c r="I142">
        <v>2.6875</v>
      </c>
      <c r="J142">
        <v>497.3125</v>
      </c>
      <c r="O142" t="s">
        <v>412</v>
      </c>
      <c r="P142" t="s">
        <v>4537</v>
      </c>
    </row>
    <row r="143" spans="1:16" x14ac:dyDescent="0.3">
      <c r="A143" t="s">
        <v>4538</v>
      </c>
      <c r="C143" t="s">
        <v>4236</v>
      </c>
      <c r="D143" t="s">
        <v>408</v>
      </c>
      <c r="E143" t="s">
        <v>409</v>
      </c>
      <c r="G143" t="s">
        <v>20</v>
      </c>
      <c r="H143">
        <v>500</v>
      </c>
      <c r="I143">
        <v>2.6875</v>
      </c>
      <c r="J143">
        <v>497.3125</v>
      </c>
      <c r="O143" t="s">
        <v>412</v>
      </c>
      <c r="P143" t="s">
        <v>4539</v>
      </c>
    </row>
    <row r="144" spans="1:16" x14ac:dyDescent="0.3">
      <c r="A144" t="s">
        <v>4540</v>
      </c>
      <c r="C144" t="s">
        <v>4236</v>
      </c>
      <c r="D144" t="s">
        <v>1116</v>
      </c>
      <c r="E144" t="s">
        <v>1117</v>
      </c>
      <c r="F144" t="s">
        <v>1196</v>
      </c>
      <c r="G144" t="s">
        <v>20</v>
      </c>
      <c r="H144">
        <v>0</v>
      </c>
      <c r="I144">
        <v>0</v>
      </c>
      <c r="J144">
        <v>0</v>
      </c>
      <c r="O144" t="s">
        <v>21</v>
      </c>
      <c r="P144" t="s">
        <v>4541</v>
      </c>
    </row>
    <row r="145" spans="1:16" x14ac:dyDescent="0.3">
      <c r="A145" t="s">
        <v>4542</v>
      </c>
      <c r="C145" t="s">
        <v>4236</v>
      </c>
      <c r="D145" t="s">
        <v>1116</v>
      </c>
      <c r="E145" t="s">
        <v>1195</v>
      </c>
      <c r="F145" t="s">
        <v>1196</v>
      </c>
      <c r="G145" t="s">
        <v>20</v>
      </c>
      <c r="H145">
        <v>0</v>
      </c>
      <c r="I145">
        <v>0</v>
      </c>
      <c r="J145">
        <v>0</v>
      </c>
      <c r="O145" t="s">
        <v>21</v>
      </c>
      <c r="P145" t="s">
        <v>4543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887E-81B9-48FA-A432-D64598CC860A}">
  <dimension ref="A1:P43"/>
  <sheetViews>
    <sheetView workbookViewId="0">
      <selection activeCell="M11" sqref="M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4544</v>
      </c>
      <c r="B2" s="1" t="s">
        <v>4545</v>
      </c>
      <c r="C2" t="s">
        <v>4546</v>
      </c>
      <c r="D2" t="s">
        <v>1203</v>
      </c>
      <c r="E2" t="s">
        <v>19</v>
      </c>
      <c r="G2" t="s">
        <v>20</v>
      </c>
      <c r="H2">
        <v>106000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4547</v>
      </c>
    </row>
    <row r="3" spans="1:16" x14ac:dyDescent="0.3">
      <c r="A3" t="s">
        <v>4548</v>
      </c>
      <c r="C3" t="s">
        <v>4546</v>
      </c>
      <c r="D3" t="s">
        <v>404</v>
      </c>
      <c r="E3" t="s">
        <v>19</v>
      </c>
      <c r="F3" t="s">
        <v>4549</v>
      </c>
      <c r="G3" t="s">
        <v>20</v>
      </c>
      <c r="H3">
        <v>9967</v>
      </c>
      <c r="I3">
        <v>0</v>
      </c>
      <c r="J3">
        <v>0</v>
      </c>
      <c r="O3" t="s">
        <v>21</v>
      </c>
      <c r="P3" t="s">
        <v>4550</v>
      </c>
    </row>
    <row r="4" spans="1:16" x14ac:dyDescent="0.3">
      <c r="A4" t="s">
        <v>4551</v>
      </c>
      <c r="B4" s="1" t="s">
        <v>4552</v>
      </c>
      <c r="C4" t="s">
        <v>4546</v>
      </c>
      <c r="D4" t="s">
        <v>29</v>
      </c>
      <c r="E4" t="s">
        <v>1217</v>
      </c>
      <c r="F4" t="s">
        <v>4553</v>
      </c>
      <c r="G4" t="s">
        <v>20</v>
      </c>
      <c r="H4">
        <v>10000</v>
      </c>
      <c r="I4">
        <v>32.25</v>
      </c>
      <c r="J4">
        <v>9967.75</v>
      </c>
      <c r="O4" t="s">
        <v>21</v>
      </c>
      <c r="P4" t="s">
        <v>4554</v>
      </c>
    </row>
    <row r="5" spans="1:16" x14ac:dyDescent="0.3">
      <c r="A5" t="s">
        <v>4555</v>
      </c>
      <c r="C5" t="s">
        <v>4546</v>
      </c>
      <c r="D5" t="s">
        <v>404</v>
      </c>
      <c r="E5" t="s">
        <v>19</v>
      </c>
      <c r="F5" t="s">
        <v>1349</v>
      </c>
      <c r="G5" t="s">
        <v>20</v>
      </c>
      <c r="H5">
        <v>84785</v>
      </c>
      <c r="I5">
        <v>0</v>
      </c>
      <c r="J5">
        <v>0</v>
      </c>
      <c r="O5" t="s">
        <v>21</v>
      </c>
      <c r="P5" t="s">
        <v>4556</v>
      </c>
    </row>
    <row r="6" spans="1:16" x14ac:dyDescent="0.3">
      <c r="A6" t="s">
        <v>4557</v>
      </c>
      <c r="C6" t="s">
        <v>4546</v>
      </c>
      <c r="D6" t="s">
        <v>408</v>
      </c>
      <c r="E6" t="s">
        <v>409</v>
      </c>
      <c r="G6" t="s">
        <v>20</v>
      </c>
      <c r="H6">
        <v>35000</v>
      </c>
      <c r="I6">
        <v>107.5</v>
      </c>
      <c r="J6">
        <v>34892.5</v>
      </c>
      <c r="O6" t="s">
        <v>21</v>
      </c>
      <c r="P6" t="s">
        <v>4558</v>
      </c>
    </row>
    <row r="7" spans="1:16" x14ac:dyDescent="0.3">
      <c r="A7" t="s">
        <v>4559</v>
      </c>
      <c r="C7" t="s">
        <v>4546</v>
      </c>
      <c r="D7" t="s">
        <v>408</v>
      </c>
      <c r="E7" t="s">
        <v>409</v>
      </c>
      <c r="G7" t="s">
        <v>20</v>
      </c>
      <c r="H7">
        <v>50000</v>
      </c>
      <c r="I7">
        <v>107.5</v>
      </c>
      <c r="J7">
        <v>49892.5</v>
      </c>
      <c r="O7" t="s">
        <v>21</v>
      </c>
      <c r="P7" t="s">
        <v>4560</v>
      </c>
    </row>
    <row r="8" spans="1:16" x14ac:dyDescent="0.3">
      <c r="A8" t="s">
        <v>4561</v>
      </c>
      <c r="C8" t="s">
        <v>4546</v>
      </c>
      <c r="D8" t="s">
        <v>404</v>
      </c>
      <c r="E8" t="s">
        <v>19</v>
      </c>
      <c r="F8" t="s">
        <v>1357</v>
      </c>
      <c r="G8" t="s">
        <v>20</v>
      </c>
      <c r="H8">
        <v>9448</v>
      </c>
      <c r="I8">
        <v>0</v>
      </c>
      <c r="J8">
        <v>0</v>
      </c>
      <c r="O8" t="s">
        <v>21</v>
      </c>
      <c r="P8" t="s">
        <v>4562</v>
      </c>
    </row>
    <row r="9" spans="1:16" x14ac:dyDescent="0.3">
      <c r="A9" t="s">
        <v>4563</v>
      </c>
      <c r="C9" t="s">
        <v>4546</v>
      </c>
      <c r="D9" t="s">
        <v>408</v>
      </c>
      <c r="E9" t="s">
        <v>409</v>
      </c>
      <c r="G9" t="s">
        <v>20</v>
      </c>
      <c r="H9">
        <v>9500</v>
      </c>
      <c r="I9">
        <v>51.0625</v>
      </c>
      <c r="J9">
        <v>9448.9375</v>
      </c>
      <c r="O9" t="s">
        <v>21</v>
      </c>
      <c r="P9" t="s">
        <v>4564</v>
      </c>
    </row>
    <row r="10" spans="1:16" x14ac:dyDescent="0.3">
      <c r="A10" t="s">
        <v>4565</v>
      </c>
      <c r="C10" t="s">
        <v>4546</v>
      </c>
      <c r="D10" t="s">
        <v>408</v>
      </c>
      <c r="E10" t="s">
        <v>409</v>
      </c>
      <c r="G10" t="s">
        <v>20</v>
      </c>
      <c r="H10">
        <v>10000</v>
      </c>
      <c r="I10" s="1" t="s">
        <v>1432</v>
      </c>
      <c r="J10">
        <v>9946.25</v>
      </c>
      <c r="O10" t="s">
        <v>412</v>
      </c>
      <c r="P10" t="s">
        <v>4566</v>
      </c>
    </row>
    <row r="11" spans="1:16" x14ac:dyDescent="0.3">
      <c r="A11" t="s">
        <v>4567</v>
      </c>
      <c r="C11" t="s">
        <v>4546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4568</v>
      </c>
    </row>
    <row r="12" spans="1:16" x14ac:dyDescent="0.3">
      <c r="A12" t="s">
        <v>4569</v>
      </c>
      <c r="C12" t="s">
        <v>4546</v>
      </c>
      <c r="D12" t="s">
        <v>404</v>
      </c>
      <c r="E12" t="s">
        <v>19</v>
      </c>
      <c r="F12" t="s">
        <v>1399</v>
      </c>
      <c r="G12" t="s">
        <v>20</v>
      </c>
      <c r="H12">
        <v>1889</v>
      </c>
      <c r="I12">
        <v>0</v>
      </c>
      <c r="J12">
        <v>0</v>
      </c>
      <c r="O12" t="s">
        <v>21</v>
      </c>
      <c r="P12" t="s">
        <v>4570</v>
      </c>
    </row>
    <row r="13" spans="1:16" x14ac:dyDescent="0.3">
      <c r="A13" t="s">
        <v>4571</v>
      </c>
      <c r="C13" t="s">
        <v>4546</v>
      </c>
      <c r="D13" t="s">
        <v>408</v>
      </c>
      <c r="E13" t="s">
        <v>409</v>
      </c>
      <c r="G13" t="s">
        <v>20</v>
      </c>
      <c r="H13">
        <v>3100</v>
      </c>
      <c r="I13">
        <v>16.662500000000001</v>
      </c>
      <c r="J13">
        <v>3083.3375000000001</v>
      </c>
      <c r="O13" t="s">
        <v>412</v>
      </c>
      <c r="P13" t="s">
        <v>4572</v>
      </c>
    </row>
    <row r="14" spans="1:16" x14ac:dyDescent="0.3">
      <c r="A14" t="s">
        <v>4573</v>
      </c>
      <c r="C14" t="s">
        <v>4546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21</v>
      </c>
      <c r="P14" t="s">
        <v>4574</v>
      </c>
    </row>
    <row r="15" spans="1:16" x14ac:dyDescent="0.3">
      <c r="A15" t="s">
        <v>4575</v>
      </c>
      <c r="C15" t="s">
        <v>4546</v>
      </c>
      <c r="D15" t="s">
        <v>408</v>
      </c>
      <c r="E15" t="s">
        <v>409</v>
      </c>
      <c r="G15" t="s">
        <v>20</v>
      </c>
      <c r="H15">
        <v>7000</v>
      </c>
      <c r="I15">
        <v>37.625</v>
      </c>
      <c r="J15">
        <v>6962.375</v>
      </c>
      <c r="O15" t="s">
        <v>412</v>
      </c>
      <c r="P15" t="s">
        <v>4576</v>
      </c>
    </row>
    <row r="16" spans="1:16" x14ac:dyDescent="0.3">
      <c r="A16" t="s">
        <v>4577</v>
      </c>
      <c r="C16" t="s">
        <v>4546</v>
      </c>
      <c r="D16" t="s">
        <v>408</v>
      </c>
      <c r="E16" t="s">
        <v>409</v>
      </c>
      <c r="G16" t="s">
        <v>20</v>
      </c>
      <c r="H16">
        <v>20000</v>
      </c>
      <c r="I16" s="1" t="s">
        <v>2155</v>
      </c>
      <c r="J16">
        <v>19892.5</v>
      </c>
      <c r="O16" t="s">
        <v>412</v>
      </c>
      <c r="P16" t="s">
        <v>4578</v>
      </c>
    </row>
    <row r="17" spans="1:16" x14ac:dyDescent="0.3">
      <c r="A17" t="s">
        <v>4579</v>
      </c>
      <c r="C17" t="s">
        <v>4546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4580</v>
      </c>
    </row>
    <row r="18" spans="1:16" x14ac:dyDescent="0.3">
      <c r="A18" t="s">
        <v>4581</v>
      </c>
      <c r="C18" t="s">
        <v>4546</v>
      </c>
      <c r="D18" t="s">
        <v>408</v>
      </c>
      <c r="E18" t="s">
        <v>409</v>
      </c>
      <c r="G18" t="s">
        <v>20</v>
      </c>
      <c r="H18">
        <v>30000</v>
      </c>
      <c r="I18">
        <v>107.5</v>
      </c>
      <c r="J18">
        <v>29892.5</v>
      </c>
      <c r="O18" t="s">
        <v>412</v>
      </c>
      <c r="P18" t="s">
        <v>4582</v>
      </c>
    </row>
    <row r="19" spans="1:16" x14ac:dyDescent="0.3">
      <c r="A19" t="s">
        <v>4583</v>
      </c>
      <c r="C19" t="s">
        <v>4546</v>
      </c>
      <c r="D19" t="s">
        <v>408</v>
      </c>
      <c r="E19" t="s">
        <v>409</v>
      </c>
      <c r="G19" t="s">
        <v>20</v>
      </c>
      <c r="H19">
        <v>30000</v>
      </c>
      <c r="I19">
        <v>107.5</v>
      </c>
      <c r="J19">
        <v>29892.5</v>
      </c>
      <c r="O19" t="s">
        <v>412</v>
      </c>
      <c r="P19" t="s">
        <v>4584</v>
      </c>
    </row>
    <row r="20" spans="1:16" x14ac:dyDescent="0.3">
      <c r="A20" t="s">
        <v>4585</v>
      </c>
      <c r="C20" t="s">
        <v>4546</v>
      </c>
      <c r="D20" t="s">
        <v>408</v>
      </c>
      <c r="E20" t="s">
        <v>409</v>
      </c>
      <c r="G20" t="s">
        <v>20</v>
      </c>
      <c r="H20">
        <v>30000</v>
      </c>
      <c r="I20">
        <v>107.5</v>
      </c>
      <c r="J20">
        <v>29892.5</v>
      </c>
      <c r="O20" t="s">
        <v>412</v>
      </c>
      <c r="P20" t="s">
        <v>4586</v>
      </c>
    </row>
    <row r="21" spans="1:16" x14ac:dyDescent="0.3">
      <c r="A21" t="s">
        <v>4587</v>
      </c>
      <c r="B21" s="1" t="s">
        <v>4588</v>
      </c>
      <c r="C21" t="s">
        <v>4546</v>
      </c>
      <c r="D21" t="s">
        <v>1203</v>
      </c>
      <c r="E21" t="s">
        <v>19</v>
      </c>
      <c r="G21" t="s">
        <v>20</v>
      </c>
      <c r="H21">
        <v>10000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4589</v>
      </c>
    </row>
    <row r="22" spans="1:16" x14ac:dyDescent="0.3">
      <c r="A22" t="s">
        <v>4590</v>
      </c>
      <c r="C22" t="s">
        <v>4546</v>
      </c>
      <c r="D22" t="s">
        <v>404</v>
      </c>
      <c r="E22" t="s">
        <v>19</v>
      </c>
      <c r="F22" t="s">
        <v>2790</v>
      </c>
      <c r="G22" t="s">
        <v>20</v>
      </c>
      <c r="H22">
        <v>9946</v>
      </c>
      <c r="I22">
        <v>0</v>
      </c>
      <c r="J22">
        <v>0</v>
      </c>
      <c r="O22" t="s">
        <v>21</v>
      </c>
      <c r="P22" t="s">
        <v>4591</v>
      </c>
    </row>
    <row r="23" spans="1:16" x14ac:dyDescent="0.3">
      <c r="A23" t="s">
        <v>4592</v>
      </c>
      <c r="C23" t="s">
        <v>4546</v>
      </c>
      <c r="D23" t="s">
        <v>408</v>
      </c>
      <c r="E23" t="s">
        <v>409</v>
      </c>
      <c r="G23" t="s">
        <v>20</v>
      </c>
      <c r="H23">
        <v>1000</v>
      </c>
      <c r="I23">
        <v>5.375</v>
      </c>
      <c r="J23">
        <v>994.625</v>
      </c>
      <c r="O23" t="s">
        <v>412</v>
      </c>
      <c r="P23" t="s">
        <v>4593</v>
      </c>
    </row>
    <row r="24" spans="1:16" x14ac:dyDescent="0.3">
      <c r="A24" t="s">
        <v>4594</v>
      </c>
      <c r="C24" t="s">
        <v>4546</v>
      </c>
      <c r="D24" t="s">
        <v>408</v>
      </c>
      <c r="E24" t="s">
        <v>409</v>
      </c>
      <c r="G24" t="s">
        <v>20</v>
      </c>
      <c r="H24">
        <v>8000</v>
      </c>
      <c r="I24">
        <v>43</v>
      </c>
      <c r="J24">
        <v>7957</v>
      </c>
      <c r="O24" t="s">
        <v>21</v>
      </c>
      <c r="P24" t="s">
        <v>4595</v>
      </c>
    </row>
    <row r="25" spans="1:16" x14ac:dyDescent="0.3">
      <c r="A25" t="e">
        <f>-LIoF_v4ojQ6TPIE5rgvu</f>
        <v>#NAME?</v>
      </c>
      <c r="C25" t="s">
        <v>4546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4596</v>
      </c>
    </row>
    <row r="26" spans="1:16" x14ac:dyDescent="0.3">
      <c r="A26" t="s">
        <v>4597</v>
      </c>
      <c r="C26" t="s">
        <v>4546</v>
      </c>
      <c r="D26" t="s">
        <v>408</v>
      </c>
      <c r="E26" t="s">
        <v>409</v>
      </c>
      <c r="G26" t="s">
        <v>20</v>
      </c>
      <c r="H26">
        <v>5000</v>
      </c>
      <c r="I26" s="1" t="s">
        <v>1275</v>
      </c>
      <c r="J26">
        <v>4973.125</v>
      </c>
      <c r="O26" t="s">
        <v>412</v>
      </c>
      <c r="P26" t="s">
        <v>4598</v>
      </c>
    </row>
    <row r="27" spans="1:16" x14ac:dyDescent="0.3">
      <c r="A27" t="s">
        <v>4599</v>
      </c>
      <c r="B27" s="1" t="s">
        <v>4600</v>
      </c>
      <c r="C27" t="s">
        <v>4546</v>
      </c>
      <c r="D27" t="s">
        <v>1203</v>
      </c>
      <c r="E27" t="s">
        <v>19</v>
      </c>
      <c r="G27" t="s">
        <v>20</v>
      </c>
      <c r="H27">
        <v>15000</v>
      </c>
      <c r="I27">
        <v>32.25</v>
      </c>
      <c r="J27">
        <v>0</v>
      </c>
      <c r="L27">
        <v>12</v>
      </c>
      <c r="M27">
        <v>2.25</v>
      </c>
      <c r="N27">
        <v>0</v>
      </c>
      <c r="O27" t="s">
        <v>21</v>
      </c>
      <c r="P27" t="s">
        <v>4601</v>
      </c>
    </row>
    <row r="28" spans="1:16" x14ac:dyDescent="0.3">
      <c r="A28" t="s">
        <v>4602</v>
      </c>
      <c r="C28" t="s">
        <v>4546</v>
      </c>
      <c r="D28" t="s">
        <v>408</v>
      </c>
      <c r="E28" t="s">
        <v>409</v>
      </c>
      <c r="G28" t="s">
        <v>20</v>
      </c>
      <c r="H28">
        <v>5000</v>
      </c>
      <c r="I28" s="1" t="s">
        <v>1275</v>
      </c>
      <c r="J28">
        <v>4973.125</v>
      </c>
      <c r="O28" t="s">
        <v>412</v>
      </c>
      <c r="P28" t="s">
        <v>4603</v>
      </c>
    </row>
    <row r="29" spans="1:16" x14ac:dyDescent="0.3">
      <c r="A29" t="s">
        <v>4604</v>
      </c>
      <c r="C29" t="s">
        <v>4546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4605</v>
      </c>
    </row>
    <row r="30" spans="1:16" x14ac:dyDescent="0.3">
      <c r="A30" t="s">
        <v>4606</v>
      </c>
      <c r="C30" t="s">
        <v>4546</v>
      </c>
      <c r="D30" t="s">
        <v>408</v>
      </c>
      <c r="E30" t="s">
        <v>409</v>
      </c>
      <c r="G30" t="s">
        <v>20</v>
      </c>
      <c r="H30">
        <v>1000</v>
      </c>
      <c r="I30">
        <v>5.375</v>
      </c>
      <c r="J30">
        <v>994.625</v>
      </c>
      <c r="O30" t="s">
        <v>412</v>
      </c>
      <c r="P30" t="s">
        <v>4607</v>
      </c>
    </row>
    <row r="31" spans="1:16" x14ac:dyDescent="0.3">
      <c r="A31" t="s">
        <v>4608</v>
      </c>
      <c r="C31" t="s">
        <v>4546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4609</v>
      </c>
    </row>
    <row r="32" spans="1:16" x14ac:dyDescent="0.3">
      <c r="A32" t="s">
        <v>4610</v>
      </c>
      <c r="C32" t="s">
        <v>4546</v>
      </c>
      <c r="D32" t="s">
        <v>404</v>
      </c>
      <c r="E32" t="s">
        <v>19</v>
      </c>
      <c r="F32" t="s">
        <v>2559</v>
      </c>
      <c r="G32" t="s">
        <v>20</v>
      </c>
      <c r="H32">
        <v>4973</v>
      </c>
      <c r="I32">
        <v>0</v>
      </c>
      <c r="J32">
        <v>0</v>
      </c>
      <c r="O32" t="s">
        <v>21</v>
      </c>
      <c r="P32" t="s">
        <v>4611</v>
      </c>
    </row>
    <row r="33" spans="1:16" x14ac:dyDescent="0.3">
      <c r="A33" t="s">
        <v>4612</v>
      </c>
      <c r="C33" t="s">
        <v>4546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4613</v>
      </c>
    </row>
    <row r="34" spans="1:16" x14ac:dyDescent="0.3">
      <c r="A34" t="s">
        <v>4614</v>
      </c>
      <c r="C34" t="s">
        <v>4546</v>
      </c>
      <c r="D34" t="s">
        <v>408</v>
      </c>
      <c r="E34" t="s">
        <v>409</v>
      </c>
      <c r="G34" t="s">
        <v>20</v>
      </c>
      <c r="H34">
        <v>5000</v>
      </c>
      <c r="I34" s="1" t="s">
        <v>1275</v>
      </c>
      <c r="J34">
        <v>4973.125</v>
      </c>
      <c r="O34" t="s">
        <v>21</v>
      </c>
      <c r="P34" t="s">
        <v>4615</v>
      </c>
    </row>
    <row r="35" spans="1:16" x14ac:dyDescent="0.3">
      <c r="A35" t="s">
        <v>4616</v>
      </c>
      <c r="C35" t="s">
        <v>4546</v>
      </c>
      <c r="D35" t="s">
        <v>404</v>
      </c>
      <c r="E35" t="s">
        <v>19</v>
      </c>
      <c r="F35" t="s">
        <v>4313</v>
      </c>
      <c r="G35" t="s">
        <v>20</v>
      </c>
      <c r="H35">
        <v>8951</v>
      </c>
      <c r="I35">
        <v>0</v>
      </c>
      <c r="J35">
        <v>0</v>
      </c>
      <c r="O35" t="s">
        <v>21</v>
      </c>
      <c r="P35" t="s">
        <v>4617</v>
      </c>
    </row>
    <row r="36" spans="1:16" x14ac:dyDescent="0.3">
      <c r="A36" t="s">
        <v>4618</v>
      </c>
      <c r="C36" t="s">
        <v>4546</v>
      </c>
      <c r="D36" t="s">
        <v>408</v>
      </c>
      <c r="E36" t="s">
        <v>409</v>
      </c>
      <c r="G36" t="s">
        <v>20</v>
      </c>
      <c r="H36">
        <v>4000</v>
      </c>
      <c r="I36">
        <v>21.5</v>
      </c>
      <c r="J36">
        <v>3978.5</v>
      </c>
      <c r="O36" t="s">
        <v>21</v>
      </c>
      <c r="P36" t="s">
        <v>4619</v>
      </c>
    </row>
    <row r="37" spans="1:16" x14ac:dyDescent="0.3">
      <c r="A37" t="s">
        <v>4620</v>
      </c>
      <c r="C37" t="s">
        <v>4546</v>
      </c>
      <c r="D37" t="s">
        <v>408</v>
      </c>
      <c r="E37" t="s">
        <v>409</v>
      </c>
      <c r="G37" t="s">
        <v>20</v>
      </c>
      <c r="H37">
        <v>5000</v>
      </c>
      <c r="I37" s="1" t="s">
        <v>1275</v>
      </c>
      <c r="J37">
        <v>4973.125</v>
      </c>
      <c r="O37" t="s">
        <v>21</v>
      </c>
      <c r="P37" t="s">
        <v>4621</v>
      </c>
    </row>
    <row r="38" spans="1:16" x14ac:dyDescent="0.3">
      <c r="A38" t="s">
        <v>4622</v>
      </c>
      <c r="C38" t="s">
        <v>4546</v>
      </c>
      <c r="D38" t="s">
        <v>1116</v>
      </c>
      <c r="E38" t="s">
        <v>1117</v>
      </c>
      <c r="F38" t="s">
        <v>1118</v>
      </c>
      <c r="G38" t="s">
        <v>20</v>
      </c>
      <c r="H38">
        <v>0</v>
      </c>
      <c r="I38">
        <v>0</v>
      </c>
      <c r="J38">
        <v>0</v>
      </c>
      <c r="O38" t="s">
        <v>21</v>
      </c>
      <c r="P38" t="s">
        <v>4623</v>
      </c>
    </row>
    <row r="39" spans="1:16" x14ac:dyDescent="0.3">
      <c r="A39" t="s">
        <v>4624</v>
      </c>
      <c r="C39" t="s">
        <v>4546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21</v>
      </c>
      <c r="P39" t="s">
        <v>4625</v>
      </c>
    </row>
    <row r="40" spans="1:16" x14ac:dyDescent="0.3">
      <c r="A40" t="s">
        <v>4626</v>
      </c>
      <c r="B40" s="1" t="s">
        <v>4627</v>
      </c>
      <c r="C40" t="s">
        <v>4546</v>
      </c>
      <c r="D40" t="s">
        <v>29</v>
      </c>
      <c r="E40" t="s">
        <v>1217</v>
      </c>
      <c r="F40" t="s">
        <v>4628</v>
      </c>
      <c r="G40" t="s">
        <v>20</v>
      </c>
      <c r="H40">
        <v>500</v>
      </c>
      <c r="I40">
        <v>32.25</v>
      </c>
      <c r="J40">
        <v>467.75</v>
      </c>
      <c r="O40" t="s">
        <v>21</v>
      </c>
      <c r="P40" t="s">
        <v>4629</v>
      </c>
    </row>
    <row r="41" spans="1:16" x14ac:dyDescent="0.3">
      <c r="A41" t="s">
        <v>4630</v>
      </c>
      <c r="C41" t="s">
        <v>4546</v>
      </c>
      <c r="D41" t="s">
        <v>1116</v>
      </c>
      <c r="E41" t="s">
        <v>1117</v>
      </c>
      <c r="F41" t="s">
        <v>1196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4631</v>
      </c>
    </row>
    <row r="42" spans="1:16" x14ac:dyDescent="0.3">
      <c r="A42" t="s">
        <v>4632</v>
      </c>
      <c r="C42" t="s">
        <v>4546</v>
      </c>
      <c r="D42" t="s">
        <v>1116</v>
      </c>
      <c r="E42" t="s">
        <v>1195</v>
      </c>
      <c r="F42" t="s">
        <v>1196</v>
      </c>
      <c r="G42" t="s">
        <v>20</v>
      </c>
      <c r="H42">
        <v>0</v>
      </c>
      <c r="I42">
        <v>0</v>
      </c>
      <c r="J42">
        <v>0</v>
      </c>
      <c r="O42" t="s">
        <v>21</v>
      </c>
      <c r="P42" t="s">
        <v>4633</v>
      </c>
    </row>
    <row r="43" spans="1:16" x14ac:dyDescent="0.3">
      <c r="A43" t="s">
        <v>4634</v>
      </c>
      <c r="B43" s="1" t="s">
        <v>4635</v>
      </c>
      <c r="C43" t="s">
        <v>4546</v>
      </c>
      <c r="D43" t="s">
        <v>29</v>
      </c>
      <c r="E43" t="s">
        <v>19</v>
      </c>
      <c r="F43" t="s">
        <v>4636</v>
      </c>
      <c r="G43" t="s">
        <v>20</v>
      </c>
      <c r="H43">
        <v>500</v>
      </c>
      <c r="I43">
        <v>32.25</v>
      </c>
      <c r="J43">
        <v>467.75</v>
      </c>
      <c r="L43">
        <v>12</v>
      </c>
      <c r="M43">
        <v>2.25</v>
      </c>
      <c r="N43">
        <v>0</v>
      </c>
      <c r="O43" t="s">
        <v>21</v>
      </c>
      <c r="P43" t="s">
        <v>4637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B6B0-9132-4EBF-803F-60C53B41FC94}">
  <dimension ref="A1:P16"/>
  <sheetViews>
    <sheetView workbookViewId="0">
      <selection activeCell="M14" sqref="M14"/>
    </sheetView>
  </sheetViews>
  <sheetFormatPr defaultRowHeight="14.4" x14ac:dyDescent="0.3"/>
  <cols>
    <col min="3" max="3" width="1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4638</v>
      </c>
      <c r="B2" s="1" t="s">
        <v>4639</v>
      </c>
      <c r="C2" t="s">
        <v>4640</v>
      </c>
      <c r="D2" t="s">
        <v>1203</v>
      </c>
      <c r="E2" t="s">
        <v>19</v>
      </c>
      <c r="G2" t="s">
        <v>20</v>
      </c>
      <c r="H2">
        <v>103500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4641</v>
      </c>
    </row>
    <row r="3" spans="1:16" x14ac:dyDescent="0.3">
      <c r="A3" t="s">
        <v>4642</v>
      </c>
      <c r="B3" s="1" t="s">
        <v>4643</v>
      </c>
      <c r="C3" t="s">
        <v>4640</v>
      </c>
      <c r="D3" t="s">
        <v>29</v>
      </c>
      <c r="E3" t="s">
        <v>19</v>
      </c>
      <c r="F3" t="s">
        <v>4644</v>
      </c>
      <c r="G3" t="s">
        <v>20</v>
      </c>
      <c r="H3">
        <v>100000</v>
      </c>
      <c r="I3">
        <v>32.25</v>
      </c>
      <c r="J3">
        <v>99967.75</v>
      </c>
      <c r="L3">
        <v>12</v>
      </c>
      <c r="M3">
        <v>2.25</v>
      </c>
      <c r="N3">
        <v>0</v>
      </c>
      <c r="O3" t="s">
        <v>21</v>
      </c>
      <c r="P3" t="s">
        <v>4645</v>
      </c>
    </row>
    <row r="4" spans="1:16" x14ac:dyDescent="0.3">
      <c r="A4" t="s">
        <v>4646</v>
      </c>
      <c r="C4" t="s">
        <v>4640</v>
      </c>
      <c r="D4" t="s">
        <v>404</v>
      </c>
      <c r="E4" t="s">
        <v>19</v>
      </c>
      <c r="F4" t="s">
        <v>981</v>
      </c>
      <c r="G4" t="s">
        <v>20</v>
      </c>
      <c r="H4">
        <v>497</v>
      </c>
      <c r="I4">
        <v>0</v>
      </c>
      <c r="J4">
        <v>0</v>
      </c>
      <c r="O4" t="s">
        <v>21</v>
      </c>
      <c r="P4" t="s">
        <v>4647</v>
      </c>
    </row>
    <row r="5" spans="1:16" x14ac:dyDescent="0.3">
      <c r="A5" t="s">
        <v>4648</v>
      </c>
      <c r="C5" t="s">
        <v>4640</v>
      </c>
      <c r="D5" t="s">
        <v>29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4649</v>
      </c>
    </row>
    <row r="6" spans="1:16" x14ac:dyDescent="0.3">
      <c r="A6" t="s">
        <v>4650</v>
      </c>
      <c r="C6" t="s">
        <v>4640</v>
      </c>
      <c r="D6" t="s">
        <v>1116</v>
      </c>
      <c r="E6" t="s">
        <v>1117</v>
      </c>
      <c r="F6" t="s">
        <v>1118</v>
      </c>
      <c r="G6" t="s">
        <v>20</v>
      </c>
      <c r="H6">
        <v>0</v>
      </c>
      <c r="I6">
        <v>0</v>
      </c>
      <c r="J6">
        <v>0</v>
      </c>
      <c r="O6" t="s">
        <v>21</v>
      </c>
      <c r="P6" t="s">
        <v>4651</v>
      </c>
    </row>
    <row r="7" spans="1:16" x14ac:dyDescent="0.3">
      <c r="A7" t="s">
        <v>4652</v>
      </c>
      <c r="C7" t="s">
        <v>4640</v>
      </c>
      <c r="D7" t="s">
        <v>1116</v>
      </c>
      <c r="E7" t="s">
        <v>1117</v>
      </c>
      <c r="F7" t="s">
        <v>1196</v>
      </c>
      <c r="G7" t="s">
        <v>20</v>
      </c>
      <c r="H7">
        <v>0</v>
      </c>
      <c r="I7">
        <v>0</v>
      </c>
      <c r="J7">
        <v>0</v>
      </c>
      <c r="O7" t="s">
        <v>21</v>
      </c>
      <c r="P7" t="s">
        <v>4653</v>
      </c>
    </row>
    <row r="8" spans="1:16" x14ac:dyDescent="0.3">
      <c r="A8" t="s">
        <v>4654</v>
      </c>
      <c r="C8" t="s">
        <v>4640</v>
      </c>
      <c r="D8" t="s">
        <v>408</v>
      </c>
      <c r="E8" t="s">
        <v>409</v>
      </c>
      <c r="G8" t="s">
        <v>20</v>
      </c>
      <c r="H8">
        <v>500</v>
      </c>
      <c r="I8">
        <v>2.6875</v>
      </c>
      <c r="J8">
        <v>497.3125</v>
      </c>
      <c r="O8" t="s">
        <v>412</v>
      </c>
      <c r="P8" t="s">
        <v>4655</v>
      </c>
    </row>
    <row r="9" spans="1:16" x14ac:dyDescent="0.3">
      <c r="A9" t="s">
        <v>4656</v>
      </c>
      <c r="C9" t="s">
        <v>4640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412</v>
      </c>
      <c r="P9" t="s">
        <v>4657</v>
      </c>
    </row>
    <row r="10" spans="1:16" x14ac:dyDescent="0.3">
      <c r="A10" t="s">
        <v>4658</v>
      </c>
      <c r="C10" t="s">
        <v>4640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412</v>
      </c>
      <c r="P10" t="s">
        <v>4659</v>
      </c>
    </row>
    <row r="11" spans="1:16" x14ac:dyDescent="0.3">
      <c r="A11" t="s">
        <v>4660</v>
      </c>
      <c r="C11" t="s">
        <v>4640</v>
      </c>
      <c r="D11" t="s">
        <v>408</v>
      </c>
      <c r="E11" t="s">
        <v>409</v>
      </c>
      <c r="G11" t="s">
        <v>20</v>
      </c>
      <c r="H11">
        <v>1000</v>
      </c>
      <c r="I11">
        <v>5.375</v>
      </c>
      <c r="J11">
        <v>994.625</v>
      </c>
      <c r="O11" t="s">
        <v>412</v>
      </c>
      <c r="P11" t="s">
        <v>4661</v>
      </c>
    </row>
    <row r="12" spans="1:16" x14ac:dyDescent="0.3">
      <c r="A12" t="s">
        <v>4662</v>
      </c>
      <c r="C12" t="s">
        <v>4640</v>
      </c>
      <c r="D12" t="s">
        <v>404</v>
      </c>
      <c r="E12" t="s">
        <v>19</v>
      </c>
      <c r="F12" t="s">
        <v>2687</v>
      </c>
      <c r="G12" t="s">
        <v>20</v>
      </c>
      <c r="H12">
        <v>1989</v>
      </c>
      <c r="I12">
        <v>0</v>
      </c>
      <c r="J12">
        <v>0</v>
      </c>
      <c r="O12" t="s">
        <v>21</v>
      </c>
      <c r="P12" t="s">
        <v>4663</v>
      </c>
    </row>
    <row r="13" spans="1:16" x14ac:dyDescent="0.3">
      <c r="A13" t="s">
        <v>4664</v>
      </c>
      <c r="C13" t="s">
        <v>4640</v>
      </c>
      <c r="D13" t="s">
        <v>408</v>
      </c>
      <c r="E13" t="s">
        <v>409</v>
      </c>
      <c r="G13" t="s">
        <v>20</v>
      </c>
      <c r="H13">
        <v>1000</v>
      </c>
      <c r="I13">
        <v>5.375</v>
      </c>
      <c r="J13">
        <v>994.625</v>
      </c>
      <c r="O13" t="s">
        <v>21</v>
      </c>
      <c r="P13" t="s">
        <v>4665</v>
      </c>
    </row>
    <row r="14" spans="1:16" x14ac:dyDescent="0.3">
      <c r="A14" t="s">
        <v>4666</v>
      </c>
      <c r="C14" t="s">
        <v>4640</v>
      </c>
      <c r="D14" t="s">
        <v>408</v>
      </c>
      <c r="E14" t="s">
        <v>409</v>
      </c>
      <c r="G14" t="s">
        <v>20</v>
      </c>
      <c r="H14">
        <v>1000</v>
      </c>
      <c r="I14">
        <v>5.375</v>
      </c>
      <c r="J14">
        <v>994.625</v>
      </c>
      <c r="O14" t="s">
        <v>21</v>
      </c>
      <c r="P14" t="s">
        <v>4667</v>
      </c>
    </row>
    <row r="15" spans="1:16" x14ac:dyDescent="0.3">
      <c r="A15" t="s">
        <v>4668</v>
      </c>
      <c r="C15" t="s">
        <v>4640</v>
      </c>
      <c r="D15" t="s">
        <v>408</v>
      </c>
      <c r="E15" t="s">
        <v>409</v>
      </c>
      <c r="G15" t="s">
        <v>20</v>
      </c>
      <c r="H15">
        <v>1100</v>
      </c>
      <c r="I15">
        <v>5.9124999999999996</v>
      </c>
      <c r="J15">
        <v>1094.0875000000001</v>
      </c>
      <c r="O15" t="s">
        <v>21</v>
      </c>
      <c r="P15" t="s">
        <v>4669</v>
      </c>
    </row>
    <row r="16" spans="1:16" x14ac:dyDescent="0.3">
      <c r="A16" t="s">
        <v>4670</v>
      </c>
      <c r="C16" t="s">
        <v>4640</v>
      </c>
      <c r="D16" t="s">
        <v>1116</v>
      </c>
      <c r="E16" t="s">
        <v>1195</v>
      </c>
      <c r="F16" t="s">
        <v>1196</v>
      </c>
      <c r="G16" t="s">
        <v>20</v>
      </c>
      <c r="H16">
        <v>0</v>
      </c>
      <c r="I16">
        <v>0</v>
      </c>
      <c r="J16">
        <v>0</v>
      </c>
      <c r="O16" t="s">
        <v>21</v>
      </c>
      <c r="P16" t="s">
        <v>4671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524-570B-4389-8A15-08E9315B54D1}">
  <dimension ref="A1:P35"/>
  <sheetViews>
    <sheetView workbookViewId="0">
      <selection activeCell="L19" sqref="L1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4672</v>
      </c>
      <c r="C2" t="s">
        <v>4673</v>
      </c>
      <c r="D2" t="s">
        <v>404</v>
      </c>
      <c r="E2" t="s">
        <v>19</v>
      </c>
      <c r="F2" t="s">
        <v>4674</v>
      </c>
      <c r="G2" t="s">
        <v>20</v>
      </c>
      <c r="H2">
        <v>49357</v>
      </c>
      <c r="I2">
        <v>0</v>
      </c>
      <c r="J2">
        <v>0</v>
      </c>
      <c r="O2" t="s">
        <v>21</v>
      </c>
      <c r="P2" t="s">
        <v>4675</v>
      </c>
    </row>
    <row r="3" spans="1:16" x14ac:dyDescent="0.3">
      <c r="A3" t="s">
        <v>4676</v>
      </c>
      <c r="C3" t="s">
        <v>4673</v>
      </c>
      <c r="D3" t="s">
        <v>408</v>
      </c>
      <c r="E3" t="s">
        <v>409</v>
      </c>
      <c r="G3" t="s">
        <v>20</v>
      </c>
      <c r="H3">
        <v>43000</v>
      </c>
      <c r="I3">
        <v>107.5</v>
      </c>
      <c r="J3">
        <v>42892.5</v>
      </c>
      <c r="O3" t="s">
        <v>21</v>
      </c>
      <c r="P3" t="s">
        <v>4677</v>
      </c>
    </row>
    <row r="4" spans="1:16" x14ac:dyDescent="0.3">
      <c r="A4" t="s">
        <v>4678</v>
      </c>
      <c r="C4" t="s">
        <v>4673</v>
      </c>
      <c r="D4" t="s">
        <v>408</v>
      </c>
      <c r="E4" t="s">
        <v>409</v>
      </c>
      <c r="G4" t="s">
        <v>20</v>
      </c>
      <c r="H4">
        <v>6500</v>
      </c>
      <c r="I4">
        <v>34.9375</v>
      </c>
      <c r="J4">
        <v>6465.0625</v>
      </c>
      <c r="O4" t="s">
        <v>21</v>
      </c>
      <c r="P4" t="s">
        <v>4679</v>
      </c>
    </row>
    <row r="5" spans="1:16" x14ac:dyDescent="0.3">
      <c r="A5" t="s">
        <v>4680</v>
      </c>
      <c r="C5" t="s">
        <v>4673</v>
      </c>
      <c r="D5" t="s">
        <v>408</v>
      </c>
      <c r="E5" t="s">
        <v>409</v>
      </c>
      <c r="G5" t="s">
        <v>20</v>
      </c>
      <c r="H5">
        <v>6500</v>
      </c>
      <c r="I5">
        <v>34.9375</v>
      </c>
      <c r="J5">
        <v>6465.0625</v>
      </c>
      <c r="O5" t="s">
        <v>412</v>
      </c>
      <c r="P5" t="s">
        <v>4681</v>
      </c>
    </row>
    <row r="6" spans="1:16" x14ac:dyDescent="0.3">
      <c r="A6" t="s">
        <v>4682</v>
      </c>
      <c r="C6" t="s">
        <v>4673</v>
      </c>
      <c r="D6" t="s">
        <v>404</v>
      </c>
      <c r="E6" t="s">
        <v>19</v>
      </c>
      <c r="F6" t="s">
        <v>2192</v>
      </c>
      <c r="G6" t="s">
        <v>20</v>
      </c>
      <c r="H6">
        <v>22876</v>
      </c>
      <c r="I6">
        <v>0</v>
      </c>
      <c r="J6">
        <v>0</v>
      </c>
      <c r="O6" t="s">
        <v>21</v>
      </c>
      <c r="P6" t="s">
        <v>4683</v>
      </c>
    </row>
    <row r="7" spans="1:16" x14ac:dyDescent="0.3">
      <c r="A7" t="s">
        <v>4684</v>
      </c>
      <c r="C7" t="s">
        <v>4673</v>
      </c>
      <c r="D7" t="s">
        <v>29</v>
      </c>
      <c r="E7" t="s">
        <v>409</v>
      </c>
      <c r="G7" t="s">
        <v>20</v>
      </c>
      <c r="H7">
        <v>20000</v>
      </c>
      <c r="I7" s="1" t="s">
        <v>2155</v>
      </c>
      <c r="J7">
        <v>19892.5</v>
      </c>
      <c r="O7" t="s">
        <v>21</v>
      </c>
      <c r="P7" t="s">
        <v>4685</v>
      </c>
    </row>
    <row r="8" spans="1:16" x14ac:dyDescent="0.3">
      <c r="A8" t="s">
        <v>4686</v>
      </c>
      <c r="C8" t="s">
        <v>4673</v>
      </c>
      <c r="D8" t="s">
        <v>29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4687</v>
      </c>
    </row>
    <row r="9" spans="1:16" x14ac:dyDescent="0.3">
      <c r="A9" t="s">
        <v>4688</v>
      </c>
      <c r="C9" t="s">
        <v>4673</v>
      </c>
      <c r="D9" t="s">
        <v>1116</v>
      </c>
      <c r="E9" t="s">
        <v>1117</v>
      </c>
      <c r="F9" t="s">
        <v>1118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4689</v>
      </c>
    </row>
    <row r="10" spans="1:16" x14ac:dyDescent="0.3">
      <c r="A10" t="s">
        <v>4690</v>
      </c>
      <c r="C10" t="s">
        <v>4673</v>
      </c>
      <c r="D10" t="s">
        <v>404</v>
      </c>
      <c r="E10" t="s">
        <v>19</v>
      </c>
      <c r="F10" t="s">
        <v>1138</v>
      </c>
      <c r="G10" t="s">
        <v>20</v>
      </c>
      <c r="H10">
        <v>15435</v>
      </c>
      <c r="I10">
        <v>0</v>
      </c>
      <c r="J10">
        <v>0</v>
      </c>
      <c r="O10" t="s">
        <v>21</v>
      </c>
      <c r="P10" t="s">
        <v>4691</v>
      </c>
    </row>
    <row r="11" spans="1:16" x14ac:dyDescent="0.3">
      <c r="A11" t="s">
        <v>4692</v>
      </c>
      <c r="B11" s="1" t="s">
        <v>4693</v>
      </c>
      <c r="C11" t="s">
        <v>4673</v>
      </c>
      <c r="D11" t="s">
        <v>29</v>
      </c>
      <c r="E11" t="s">
        <v>1217</v>
      </c>
      <c r="F11" t="s">
        <v>4694</v>
      </c>
      <c r="G11" t="s">
        <v>20</v>
      </c>
      <c r="H11">
        <v>5000</v>
      </c>
      <c r="I11">
        <v>32.25</v>
      </c>
      <c r="J11">
        <v>4967.75</v>
      </c>
      <c r="O11" t="s">
        <v>21</v>
      </c>
      <c r="P11" t="s">
        <v>4695</v>
      </c>
    </row>
    <row r="12" spans="1:16" x14ac:dyDescent="0.3">
      <c r="A12" t="s">
        <v>4696</v>
      </c>
      <c r="B12" s="1" t="s">
        <v>4697</v>
      </c>
      <c r="C12" t="s">
        <v>4673</v>
      </c>
      <c r="D12" t="s">
        <v>29</v>
      </c>
      <c r="E12" t="s">
        <v>1217</v>
      </c>
      <c r="F12" t="s">
        <v>4698</v>
      </c>
      <c r="G12" t="s">
        <v>20</v>
      </c>
      <c r="H12">
        <v>10500</v>
      </c>
      <c r="I12">
        <v>32.25</v>
      </c>
      <c r="J12">
        <v>10467.75</v>
      </c>
      <c r="O12" t="s">
        <v>21</v>
      </c>
      <c r="P12" t="s">
        <v>4699</v>
      </c>
    </row>
    <row r="13" spans="1:16" x14ac:dyDescent="0.3">
      <c r="A13" t="s">
        <v>4700</v>
      </c>
      <c r="C13" t="s">
        <v>4673</v>
      </c>
      <c r="D13" t="s">
        <v>404</v>
      </c>
      <c r="E13" t="s">
        <v>19</v>
      </c>
      <c r="F13" t="s">
        <v>1185</v>
      </c>
      <c r="G13" t="s">
        <v>20</v>
      </c>
      <c r="H13">
        <v>10854</v>
      </c>
      <c r="I13">
        <v>0</v>
      </c>
      <c r="J13">
        <v>0</v>
      </c>
      <c r="O13" t="s">
        <v>21</v>
      </c>
      <c r="P13" t="s">
        <v>4701</v>
      </c>
    </row>
    <row r="14" spans="1:16" x14ac:dyDescent="0.3">
      <c r="A14" t="s">
        <v>4702</v>
      </c>
      <c r="B14" s="1" t="s">
        <v>4703</v>
      </c>
      <c r="C14" t="s">
        <v>4673</v>
      </c>
      <c r="D14" t="s">
        <v>29</v>
      </c>
      <c r="E14" t="s">
        <v>1217</v>
      </c>
      <c r="F14" t="s">
        <v>4704</v>
      </c>
      <c r="G14" t="s">
        <v>20</v>
      </c>
      <c r="H14">
        <v>3000</v>
      </c>
      <c r="I14">
        <v>32.25</v>
      </c>
      <c r="J14">
        <v>2967.75</v>
      </c>
      <c r="O14" t="s">
        <v>21</v>
      </c>
      <c r="P14" t="s">
        <v>4705</v>
      </c>
    </row>
    <row r="15" spans="1:16" x14ac:dyDescent="0.3">
      <c r="A15" t="s">
        <v>4706</v>
      </c>
      <c r="B15" s="1" t="s">
        <v>4707</v>
      </c>
      <c r="C15" t="s">
        <v>4673</v>
      </c>
      <c r="D15" t="s">
        <v>29</v>
      </c>
      <c r="E15" t="s">
        <v>1217</v>
      </c>
      <c r="F15" t="s">
        <v>4708</v>
      </c>
      <c r="G15" t="s">
        <v>20</v>
      </c>
      <c r="H15">
        <v>1000</v>
      </c>
      <c r="I15">
        <v>32.25</v>
      </c>
      <c r="J15">
        <v>967.75</v>
      </c>
      <c r="O15" t="s">
        <v>21</v>
      </c>
      <c r="P15" t="s">
        <v>4709</v>
      </c>
    </row>
    <row r="16" spans="1:16" x14ac:dyDescent="0.3">
      <c r="A16" t="s">
        <v>4710</v>
      </c>
      <c r="B16" s="1" t="s">
        <v>4711</v>
      </c>
      <c r="C16" t="s">
        <v>4673</v>
      </c>
      <c r="D16" t="s">
        <v>29</v>
      </c>
      <c r="E16" t="s">
        <v>1217</v>
      </c>
      <c r="F16" t="s">
        <v>4712</v>
      </c>
      <c r="G16" t="s">
        <v>20</v>
      </c>
      <c r="H16">
        <v>2000</v>
      </c>
      <c r="I16">
        <v>32.25</v>
      </c>
      <c r="J16">
        <v>1967.75</v>
      </c>
      <c r="O16" t="s">
        <v>21</v>
      </c>
      <c r="P16" t="s">
        <v>4713</v>
      </c>
    </row>
    <row r="17" spans="1:16" x14ac:dyDescent="0.3">
      <c r="A17" t="s">
        <v>4714</v>
      </c>
      <c r="C17" t="s">
        <v>4673</v>
      </c>
      <c r="D17" t="s">
        <v>408</v>
      </c>
      <c r="E17" t="s">
        <v>409</v>
      </c>
      <c r="G17" t="s">
        <v>20</v>
      </c>
      <c r="H17">
        <v>2000</v>
      </c>
      <c r="I17">
        <v>10.75</v>
      </c>
      <c r="J17">
        <v>1989.25</v>
      </c>
      <c r="O17" t="s">
        <v>21</v>
      </c>
      <c r="P17" t="s">
        <v>4715</v>
      </c>
    </row>
    <row r="18" spans="1:16" x14ac:dyDescent="0.3">
      <c r="A18" t="s">
        <v>4716</v>
      </c>
      <c r="C18" t="s">
        <v>4673</v>
      </c>
      <c r="D18" t="s">
        <v>408</v>
      </c>
      <c r="E18" t="s">
        <v>409</v>
      </c>
      <c r="G18" t="s">
        <v>20</v>
      </c>
      <c r="H18">
        <v>1000</v>
      </c>
      <c r="I18">
        <v>5.375</v>
      </c>
      <c r="J18">
        <v>994.625</v>
      </c>
      <c r="O18" t="s">
        <v>21</v>
      </c>
      <c r="P18" t="s">
        <v>4717</v>
      </c>
    </row>
    <row r="19" spans="1:16" x14ac:dyDescent="0.3">
      <c r="A19" t="s">
        <v>4718</v>
      </c>
      <c r="B19" s="1" t="s">
        <v>4719</v>
      </c>
      <c r="C19" t="s">
        <v>4673</v>
      </c>
      <c r="D19" t="s">
        <v>29</v>
      </c>
      <c r="E19" t="s">
        <v>1217</v>
      </c>
      <c r="F19" t="s">
        <v>4720</v>
      </c>
      <c r="G19" t="s">
        <v>20</v>
      </c>
      <c r="H19">
        <v>2000</v>
      </c>
      <c r="I19">
        <v>32.25</v>
      </c>
      <c r="J19">
        <v>1967.75</v>
      </c>
      <c r="O19" t="s">
        <v>21</v>
      </c>
      <c r="P19" t="s">
        <v>4721</v>
      </c>
    </row>
    <row r="20" spans="1:16" x14ac:dyDescent="0.3">
      <c r="A20" t="s">
        <v>4722</v>
      </c>
      <c r="B20" s="1" t="s">
        <v>4723</v>
      </c>
      <c r="C20" t="s">
        <v>4673</v>
      </c>
      <c r="D20" t="s">
        <v>29</v>
      </c>
      <c r="E20" t="s">
        <v>1217</v>
      </c>
      <c r="F20" t="s">
        <v>4724</v>
      </c>
      <c r="G20" t="s">
        <v>20</v>
      </c>
      <c r="H20">
        <v>1500</v>
      </c>
      <c r="I20">
        <v>32.25</v>
      </c>
      <c r="J20">
        <v>1467.75</v>
      </c>
      <c r="O20" t="s">
        <v>21</v>
      </c>
      <c r="P20" t="s">
        <v>4725</v>
      </c>
    </row>
    <row r="21" spans="1:16" x14ac:dyDescent="0.3">
      <c r="A21" t="s">
        <v>4726</v>
      </c>
      <c r="B21" s="1" t="s">
        <v>4727</v>
      </c>
      <c r="C21" t="s">
        <v>4673</v>
      </c>
      <c r="D21" t="s">
        <v>29</v>
      </c>
      <c r="E21" t="s">
        <v>1217</v>
      </c>
      <c r="F21" t="s">
        <v>4728</v>
      </c>
      <c r="G21" t="s">
        <v>20</v>
      </c>
      <c r="H21">
        <v>10000</v>
      </c>
      <c r="I21">
        <v>32.25</v>
      </c>
      <c r="J21">
        <v>9967.75</v>
      </c>
      <c r="O21" t="s">
        <v>21</v>
      </c>
      <c r="P21" t="s">
        <v>4729</v>
      </c>
    </row>
    <row r="22" spans="1:16" x14ac:dyDescent="0.3">
      <c r="A22" t="s">
        <v>4730</v>
      </c>
      <c r="B22" s="1" t="s">
        <v>4731</v>
      </c>
      <c r="C22" t="s">
        <v>4673</v>
      </c>
      <c r="D22" t="s">
        <v>29</v>
      </c>
      <c r="E22" t="s">
        <v>1217</v>
      </c>
      <c r="F22" t="s">
        <v>4732</v>
      </c>
      <c r="G22" t="s">
        <v>20</v>
      </c>
      <c r="H22">
        <v>3000</v>
      </c>
      <c r="I22">
        <v>32.25</v>
      </c>
      <c r="J22">
        <v>2967.75</v>
      </c>
      <c r="O22" t="s">
        <v>21</v>
      </c>
      <c r="P22" t="s">
        <v>4733</v>
      </c>
    </row>
    <row r="23" spans="1:16" x14ac:dyDescent="0.3">
      <c r="A23" t="s">
        <v>4734</v>
      </c>
      <c r="B23" s="1" t="s">
        <v>4735</v>
      </c>
      <c r="C23" t="s">
        <v>4673</v>
      </c>
      <c r="D23" t="s">
        <v>29</v>
      </c>
      <c r="E23" t="s">
        <v>1217</v>
      </c>
      <c r="F23" t="s">
        <v>4736</v>
      </c>
      <c r="G23" t="s">
        <v>20</v>
      </c>
      <c r="H23">
        <v>25000</v>
      </c>
      <c r="I23">
        <v>32.25</v>
      </c>
      <c r="J23">
        <v>24967.75</v>
      </c>
      <c r="O23" t="s">
        <v>21</v>
      </c>
      <c r="P23" t="s">
        <v>4737</v>
      </c>
    </row>
    <row r="24" spans="1:16" x14ac:dyDescent="0.3">
      <c r="A24" t="s">
        <v>4738</v>
      </c>
      <c r="B24" s="1" t="s">
        <v>4739</v>
      </c>
      <c r="C24" t="s">
        <v>4673</v>
      </c>
      <c r="D24" t="s">
        <v>29</v>
      </c>
      <c r="E24" t="s">
        <v>1217</v>
      </c>
      <c r="F24" t="s">
        <v>4740</v>
      </c>
      <c r="G24" t="s">
        <v>20</v>
      </c>
      <c r="H24">
        <v>2000</v>
      </c>
      <c r="I24">
        <v>32.25</v>
      </c>
      <c r="J24">
        <v>1967.75</v>
      </c>
      <c r="O24" t="s">
        <v>21</v>
      </c>
      <c r="P24" t="s">
        <v>4741</v>
      </c>
    </row>
    <row r="25" spans="1:16" x14ac:dyDescent="0.3">
      <c r="A25" t="s">
        <v>4742</v>
      </c>
      <c r="B25" s="1" t="s">
        <v>4743</v>
      </c>
      <c r="C25" t="s">
        <v>4673</v>
      </c>
      <c r="D25" t="s">
        <v>29</v>
      </c>
      <c r="E25" t="s">
        <v>1217</v>
      </c>
      <c r="F25" t="s">
        <v>4744</v>
      </c>
      <c r="G25" t="s">
        <v>20</v>
      </c>
      <c r="H25">
        <v>600</v>
      </c>
      <c r="I25">
        <v>32.25</v>
      </c>
      <c r="J25">
        <v>567.75</v>
      </c>
      <c r="O25" t="s">
        <v>21</v>
      </c>
      <c r="P25" t="s">
        <v>4745</v>
      </c>
    </row>
    <row r="26" spans="1:16" x14ac:dyDescent="0.3">
      <c r="A26" t="s">
        <v>4746</v>
      </c>
      <c r="B26" s="1" t="s">
        <v>4747</v>
      </c>
      <c r="C26" t="s">
        <v>4673</v>
      </c>
      <c r="D26" t="s">
        <v>29</v>
      </c>
      <c r="E26" t="s">
        <v>1217</v>
      </c>
      <c r="F26" t="s">
        <v>4748</v>
      </c>
      <c r="G26" t="s">
        <v>20</v>
      </c>
      <c r="H26">
        <v>2000</v>
      </c>
      <c r="I26">
        <v>32.25</v>
      </c>
      <c r="J26">
        <v>1967.75</v>
      </c>
      <c r="O26" t="s">
        <v>21</v>
      </c>
      <c r="P26" t="s">
        <v>4749</v>
      </c>
    </row>
    <row r="27" spans="1:16" x14ac:dyDescent="0.3">
      <c r="A27" t="s">
        <v>4750</v>
      </c>
      <c r="B27" s="1" t="s">
        <v>4751</v>
      </c>
      <c r="C27" t="s">
        <v>4673</v>
      </c>
      <c r="D27" t="s">
        <v>29</v>
      </c>
      <c r="E27" t="s">
        <v>1217</v>
      </c>
      <c r="F27" t="s">
        <v>4752</v>
      </c>
      <c r="G27" t="s">
        <v>20</v>
      </c>
      <c r="H27">
        <v>30000</v>
      </c>
      <c r="I27">
        <v>32.25</v>
      </c>
      <c r="J27">
        <v>29967.75</v>
      </c>
      <c r="O27" t="s">
        <v>21</v>
      </c>
      <c r="P27" t="s">
        <v>4753</v>
      </c>
    </row>
    <row r="28" spans="1:16" x14ac:dyDescent="0.3">
      <c r="A28" t="s">
        <v>4754</v>
      </c>
      <c r="B28" s="1" t="s">
        <v>4755</v>
      </c>
      <c r="C28" t="s">
        <v>4673</v>
      </c>
      <c r="D28" t="s">
        <v>29</v>
      </c>
      <c r="E28" t="s">
        <v>1217</v>
      </c>
      <c r="F28" t="s">
        <v>4756</v>
      </c>
      <c r="G28" t="s">
        <v>20</v>
      </c>
      <c r="H28">
        <v>2500</v>
      </c>
      <c r="I28">
        <v>32.25</v>
      </c>
      <c r="J28">
        <v>2467.75</v>
      </c>
      <c r="O28" t="s">
        <v>21</v>
      </c>
      <c r="P28" t="s">
        <v>4757</v>
      </c>
    </row>
    <row r="29" spans="1:16" x14ac:dyDescent="0.3">
      <c r="A29" t="s">
        <v>4758</v>
      </c>
      <c r="B29" s="1" t="s">
        <v>4759</v>
      </c>
      <c r="C29" t="s">
        <v>4673</v>
      </c>
      <c r="D29" t="s">
        <v>29</v>
      </c>
      <c r="E29" t="s">
        <v>1217</v>
      </c>
      <c r="F29" t="s">
        <v>4760</v>
      </c>
      <c r="G29" t="s">
        <v>20</v>
      </c>
      <c r="H29">
        <v>2500</v>
      </c>
      <c r="I29">
        <v>32.25</v>
      </c>
      <c r="J29">
        <v>2467.75</v>
      </c>
      <c r="O29" t="s">
        <v>21</v>
      </c>
      <c r="P29" t="s">
        <v>4761</v>
      </c>
    </row>
    <row r="30" spans="1:16" x14ac:dyDescent="0.3">
      <c r="A30" t="s">
        <v>4762</v>
      </c>
      <c r="B30" s="1" t="s">
        <v>4763</v>
      </c>
      <c r="C30" t="s">
        <v>4673</v>
      </c>
      <c r="D30" t="s">
        <v>29</v>
      </c>
      <c r="E30" t="s">
        <v>1217</v>
      </c>
      <c r="F30" t="s">
        <v>4764</v>
      </c>
      <c r="G30" t="s">
        <v>20</v>
      </c>
      <c r="H30">
        <v>1500</v>
      </c>
      <c r="I30">
        <v>32.25</v>
      </c>
      <c r="J30">
        <v>1467.75</v>
      </c>
      <c r="O30" t="s">
        <v>21</v>
      </c>
      <c r="P30" t="s">
        <v>4765</v>
      </c>
    </row>
    <row r="31" spans="1:16" x14ac:dyDescent="0.3">
      <c r="A31" t="s">
        <v>4766</v>
      </c>
      <c r="C31" t="s">
        <v>4673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4767</v>
      </c>
    </row>
    <row r="32" spans="1:16" x14ac:dyDescent="0.3">
      <c r="A32" t="s">
        <v>4768</v>
      </c>
      <c r="C32" t="s">
        <v>4673</v>
      </c>
      <c r="D32" t="s">
        <v>408</v>
      </c>
      <c r="E32" t="s">
        <v>409</v>
      </c>
      <c r="G32" t="s">
        <v>20</v>
      </c>
      <c r="H32">
        <v>500</v>
      </c>
      <c r="I32">
        <v>2.6875</v>
      </c>
      <c r="J32">
        <v>497.3125</v>
      </c>
      <c r="O32" t="s">
        <v>412</v>
      </c>
      <c r="P32" t="s">
        <v>4769</v>
      </c>
    </row>
    <row r="33" spans="1:16" x14ac:dyDescent="0.3">
      <c r="A33" t="s">
        <v>4770</v>
      </c>
      <c r="C33" t="s">
        <v>4673</v>
      </c>
      <c r="D33" t="s">
        <v>408</v>
      </c>
      <c r="E33" t="s">
        <v>409</v>
      </c>
      <c r="G33" t="s">
        <v>20</v>
      </c>
      <c r="H33">
        <v>500</v>
      </c>
      <c r="I33">
        <v>2.6875</v>
      </c>
      <c r="J33">
        <v>497.3125</v>
      </c>
      <c r="O33" t="s">
        <v>412</v>
      </c>
      <c r="P33" t="s">
        <v>4771</v>
      </c>
    </row>
    <row r="34" spans="1:16" x14ac:dyDescent="0.3">
      <c r="A34" t="s">
        <v>4772</v>
      </c>
      <c r="C34" t="s">
        <v>4673</v>
      </c>
      <c r="D34" t="s">
        <v>1116</v>
      </c>
      <c r="E34" t="s">
        <v>1195</v>
      </c>
      <c r="F34" t="s">
        <v>1196</v>
      </c>
      <c r="G34" t="s">
        <v>20</v>
      </c>
      <c r="H34">
        <v>0</v>
      </c>
      <c r="I34">
        <v>0</v>
      </c>
      <c r="J34">
        <v>0</v>
      </c>
      <c r="O34" t="s">
        <v>21</v>
      </c>
      <c r="P34" t="s">
        <v>4773</v>
      </c>
    </row>
    <row r="35" spans="1:16" x14ac:dyDescent="0.3">
      <c r="A35" t="s">
        <v>4774</v>
      </c>
      <c r="C35" t="s">
        <v>4673</v>
      </c>
      <c r="D35" t="s">
        <v>1116</v>
      </c>
      <c r="E35" t="s">
        <v>1117</v>
      </c>
      <c r="F35" t="s">
        <v>1196</v>
      </c>
      <c r="G35" t="s">
        <v>20</v>
      </c>
      <c r="H35">
        <v>0</v>
      </c>
      <c r="I35">
        <v>0</v>
      </c>
      <c r="J35">
        <v>0</v>
      </c>
      <c r="O35" t="s">
        <v>21</v>
      </c>
      <c r="P35" t="s">
        <v>4775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D418-3220-4D1E-BCFB-DCC288A31F74}">
  <dimension ref="A1:P19"/>
  <sheetViews>
    <sheetView workbookViewId="0">
      <selection activeCell="I12" sqref="I12"/>
    </sheetView>
  </sheetViews>
  <sheetFormatPr defaultRowHeight="14.4" x14ac:dyDescent="0.3"/>
  <cols>
    <col min="3" max="3" width="1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4776</v>
      </c>
      <c r="C2" t="s">
        <v>4777</v>
      </c>
      <c r="D2" t="s">
        <v>18</v>
      </c>
      <c r="E2" t="s">
        <v>19</v>
      </c>
      <c r="G2" t="s">
        <v>20</v>
      </c>
      <c r="H2">
        <v>49871.5</v>
      </c>
      <c r="I2">
        <v>0</v>
      </c>
      <c r="J2">
        <v>49871.5</v>
      </c>
      <c r="O2" t="s">
        <v>21</v>
      </c>
      <c r="P2" t="s">
        <v>4778</v>
      </c>
    </row>
    <row r="3" spans="1:16" x14ac:dyDescent="0.3">
      <c r="A3" t="s">
        <v>4779</v>
      </c>
      <c r="C3" t="s">
        <v>4777</v>
      </c>
      <c r="D3" t="s">
        <v>18</v>
      </c>
      <c r="E3" t="s">
        <v>19</v>
      </c>
      <c r="F3" t="s">
        <v>4780</v>
      </c>
      <c r="G3" t="s">
        <v>20</v>
      </c>
      <c r="H3">
        <v>49900</v>
      </c>
      <c r="I3">
        <v>0</v>
      </c>
      <c r="J3">
        <v>49900</v>
      </c>
      <c r="O3" t="s">
        <v>21</v>
      </c>
      <c r="P3" t="s">
        <v>4781</v>
      </c>
    </row>
    <row r="4" spans="1:16" x14ac:dyDescent="0.3">
      <c r="A4" t="s">
        <v>4782</v>
      </c>
      <c r="C4" t="s">
        <v>4777</v>
      </c>
      <c r="D4" t="s">
        <v>18</v>
      </c>
      <c r="E4" t="s">
        <v>19</v>
      </c>
      <c r="F4" t="s">
        <v>4780</v>
      </c>
      <c r="G4" t="s">
        <v>20</v>
      </c>
      <c r="H4">
        <v>49900</v>
      </c>
      <c r="I4">
        <v>0</v>
      </c>
      <c r="J4">
        <v>49900</v>
      </c>
      <c r="O4" t="s">
        <v>21</v>
      </c>
      <c r="P4" t="s">
        <v>4783</v>
      </c>
    </row>
    <row r="5" spans="1:16" x14ac:dyDescent="0.3">
      <c r="A5" t="s">
        <v>4784</v>
      </c>
      <c r="C5" t="s">
        <v>4777</v>
      </c>
      <c r="D5" t="s">
        <v>404</v>
      </c>
      <c r="E5" t="s">
        <v>19</v>
      </c>
      <c r="F5" t="s">
        <v>1388</v>
      </c>
      <c r="G5" t="s">
        <v>20</v>
      </c>
      <c r="H5">
        <v>49967</v>
      </c>
      <c r="I5">
        <v>0</v>
      </c>
      <c r="J5">
        <v>0</v>
      </c>
      <c r="O5" t="s">
        <v>21</v>
      </c>
      <c r="P5" t="s">
        <v>4785</v>
      </c>
    </row>
    <row r="6" spans="1:16" x14ac:dyDescent="0.3">
      <c r="A6" t="s">
        <v>4786</v>
      </c>
      <c r="B6" s="1" t="s">
        <v>4787</v>
      </c>
      <c r="C6" t="s">
        <v>4777</v>
      </c>
      <c r="D6" t="s">
        <v>29</v>
      </c>
      <c r="E6" t="s">
        <v>1217</v>
      </c>
      <c r="F6" t="s">
        <v>4788</v>
      </c>
      <c r="G6" t="s">
        <v>20</v>
      </c>
      <c r="H6">
        <v>50000</v>
      </c>
      <c r="I6">
        <v>32.25</v>
      </c>
      <c r="J6">
        <v>49967.75</v>
      </c>
      <c r="O6" t="s">
        <v>21</v>
      </c>
      <c r="P6" t="s">
        <v>4789</v>
      </c>
    </row>
    <row r="7" spans="1:16" x14ac:dyDescent="0.3">
      <c r="A7" t="s">
        <v>4790</v>
      </c>
      <c r="B7" s="1" t="s">
        <v>4791</v>
      </c>
      <c r="C7" t="s">
        <v>4777</v>
      </c>
      <c r="D7" t="s">
        <v>1203</v>
      </c>
      <c r="E7" t="s">
        <v>19</v>
      </c>
      <c r="G7" t="s">
        <v>20</v>
      </c>
      <c r="H7">
        <v>50000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4792</v>
      </c>
    </row>
    <row r="8" spans="1:16" x14ac:dyDescent="0.3">
      <c r="A8" t="s">
        <v>4793</v>
      </c>
      <c r="C8" t="s">
        <v>4777</v>
      </c>
      <c r="D8" t="s">
        <v>404</v>
      </c>
      <c r="E8" t="s">
        <v>19</v>
      </c>
      <c r="F8" t="s">
        <v>2541</v>
      </c>
      <c r="G8" t="s">
        <v>20</v>
      </c>
      <c r="H8">
        <v>49967</v>
      </c>
      <c r="I8">
        <v>0</v>
      </c>
      <c r="J8">
        <v>0</v>
      </c>
      <c r="O8" t="s">
        <v>21</v>
      </c>
      <c r="P8" t="s">
        <v>4794</v>
      </c>
    </row>
    <row r="9" spans="1:16" x14ac:dyDescent="0.3">
      <c r="A9" t="s">
        <v>4795</v>
      </c>
      <c r="B9" s="1" t="s">
        <v>4796</v>
      </c>
      <c r="C9" t="s">
        <v>4777</v>
      </c>
      <c r="D9" t="s">
        <v>29</v>
      </c>
      <c r="E9" t="s">
        <v>1217</v>
      </c>
      <c r="F9" t="s">
        <v>4797</v>
      </c>
      <c r="G9" t="s">
        <v>20</v>
      </c>
      <c r="H9">
        <v>50000</v>
      </c>
      <c r="I9">
        <v>32.25</v>
      </c>
      <c r="J9">
        <v>49967.75</v>
      </c>
      <c r="O9" t="s">
        <v>21</v>
      </c>
      <c r="P9" t="s">
        <v>4798</v>
      </c>
    </row>
    <row r="10" spans="1:16" x14ac:dyDescent="0.3">
      <c r="A10" t="s">
        <v>4799</v>
      </c>
      <c r="B10" s="1" t="s">
        <v>4800</v>
      </c>
      <c r="C10" t="s">
        <v>4777</v>
      </c>
      <c r="D10" t="s">
        <v>1203</v>
      </c>
      <c r="E10" t="s">
        <v>19</v>
      </c>
      <c r="G10" t="s">
        <v>20</v>
      </c>
      <c r="H10">
        <v>9900</v>
      </c>
      <c r="I10">
        <v>25</v>
      </c>
      <c r="J10">
        <v>0</v>
      </c>
      <c r="O10" t="s">
        <v>21</v>
      </c>
      <c r="P10" t="s">
        <v>4801</v>
      </c>
    </row>
    <row r="11" spans="1:16" x14ac:dyDescent="0.3">
      <c r="A11" t="s">
        <v>4802</v>
      </c>
      <c r="C11" t="s">
        <v>4777</v>
      </c>
      <c r="D11" t="s">
        <v>1203</v>
      </c>
      <c r="E11" t="s">
        <v>19</v>
      </c>
      <c r="G11" t="s">
        <v>20</v>
      </c>
      <c r="H11">
        <v>9900</v>
      </c>
      <c r="I11">
        <v>25</v>
      </c>
      <c r="J11">
        <v>0</v>
      </c>
      <c r="O11" t="s">
        <v>412</v>
      </c>
      <c r="P11" t="s">
        <v>4803</v>
      </c>
    </row>
    <row r="12" spans="1:16" x14ac:dyDescent="0.3">
      <c r="A12" t="s">
        <v>4804</v>
      </c>
      <c r="B12" s="1" t="s">
        <v>4805</v>
      </c>
      <c r="C12" t="s">
        <v>4777</v>
      </c>
      <c r="D12" t="s">
        <v>1203</v>
      </c>
      <c r="E12" t="s">
        <v>19</v>
      </c>
      <c r="G12" t="s">
        <v>20</v>
      </c>
      <c r="H12">
        <v>1500</v>
      </c>
      <c r="I12">
        <v>25</v>
      </c>
      <c r="J12">
        <v>0</v>
      </c>
      <c r="O12" t="s">
        <v>21</v>
      </c>
      <c r="P12" t="s">
        <v>4806</v>
      </c>
    </row>
    <row r="13" spans="1:16" x14ac:dyDescent="0.3">
      <c r="A13" t="s">
        <v>4807</v>
      </c>
      <c r="C13" t="s">
        <v>4777</v>
      </c>
      <c r="D13" t="s">
        <v>404</v>
      </c>
      <c r="E13" t="s">
        <v>19</v>
      </c>
      <c r="F13" t="s">
        <v>892</v>
      </c>
      <c r="G13" t="s">
        <v>20</v>
      </c>
      <c r="H13">
        <v>965</v>
      </c>
      <c r="I13">
        <v>0</v>
      </c>
      <c r="J13">
        <v>0</v>
      </c>
      <c r="O13" t="s">
        <v>21</v>
      </c>
      <c r="P13" t="s">
        <v>4808</v>
      </c>
    </row>
    <row r="14" spans="1:16" x14ac:dyDescent="0.3">
      <c r="A14" t="s">
        <v>4809</v>
      </c>
      <c r="B14" s="1" t="s">
        <v>4810</v>
      </c>
      <c r="C14" t="s">
        <v>4777</v>
      </c>
      <c r="D14" t="s">
        <v>29</v>
      </c>
      <c r="E14" t="s">
        <v>1217</v>
      </c>
      <c r="F14" t="s">
        <v>4811</v>
      </c>
      <c r="G14" t="s">
        <v>20</v>
      </c>
      <c r="H14">
        <v>500</v>
      </c>
      <c r="I14">
        <v>32.25</v>
      </c>
      <c r="J14">
        <v>467.75</v>
      </c>
      <c r="O14" t="s">
        <v>21</v>
      </c>
      <c r="P14" t="s">
        <v>4812</v>
      </c>
    </row>
    <row r="15" spans="1:16" x14ac:dyDescent="0.3">
      <c r="A15" t="s">
        <v>4813</v>
      </c>
      <c r="C15" t="s">
        <v>4777</v>
      </c>
      <c r="D15" t="s">
        <v>29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4814</v>
      </c>
    </row>
    <row r="16" spans="1:16" x14ac:dyDescent="0.3">
      <c r="A16" t="s">
        <v>4815</v>
      </c>
      <c r="C16" t="s">
        <v>4777</v>
      </c>
      <c r="D16" t="s">
        <v>404</v>
      </c>
      <c r="E16" t="s">
        <v>19</v>
      </c>
      <c r="F16" t="s">
        <v>1038</v>
      </c>
      <c r="G16" t="s">
        <v>20</v>
      </c>
      <c r="H16">
        <v>596</v>
      </c>
      <c r="I16">
        <v>0</v>
      </c>
      <c r="J16">
        <v>0</v>
      </c>
      <c r="O16" t="s">
        <v>21</v>
      </c>
      <c r="P16" t="s">
        <v>4816</v>
      </c>
    </row>
    <row r="17" spans="1:16" x14ac:dyDescent="0.3">
      <c r="A17" t="s">
        <v>4817</v>
      </c>
      <c r="C17" t="s">
        <v>4777</v>
      </c>
      <c r="D17" t="s">
        <v>408</v>
      </c>
      <c r="E17" t="s">
        <v>409</v>
      </c>
      <c r="G17" t="s">
        <v>20</v>
      </c>
      <c r="H17">
        <v>600</v>
      </c>
      <c r="I17" s="1" t="s">
        <v>4178</v>
      </c>
      <c r="J17">
        <v>596.77499999999998</v>
      </c>
      <c r="O17" t="s">
        <v>21</v>
      </c>
      <c r="P17" t="s">
        <v>4818</v>
      </c>
    </row>
    <row r="18" spans="1:16" x14ac:dyDescent="0.3">
      <c r="A18" t="s">
        <v>4819</v>
      </c>
      <c r="C18" t="s">
        <v>4777</v>
      </c>
      <c r="D18" t="s">
        <v>1116</v>
      </c>
      <c r="E18" t="s">
        <v>1117</v>
      </c>
      <c r="F18" t="s">
        <v>1196</v>
      </c>
      <c r="G18" t="s">
        <v>20</v>
      </c>
      <c r="H18">
        <v>0</v>
      </c>
      <c r="I18">
        <v>0</v>
      </c>
      <c r="J18">
        <v>0</v>
      </c>
      <c r="O18" t="s">
        <v>21</v>
      </c>
      <c r="P18" t="s">
        <v>4820</v>
      </c>
    </row>
    <row r="19" spans="1:16" x14ac:dyDescent="0.3">
      <c r="A19" t="s">
        <v>4821</v>
      </c>
      <c r="C19" t="s">
        <v>4777</v>
      </c>
      <c r="D19" t="s">
        <v>1116</v>
      </c>
      <c r="E19" t="s">
        <v>1195</v>
      </c>
      <c r="F19" t="s">
        <v>1196</v>
      </c>
      <c r="G19" t="s">
        <v>20</v>
      </c>
      <c r="H19">
        <v>0</v>
      </c>
      <c r="I19">
        <v>0</v>
      </c>
      <c r="J19">
        <v>0</v>
      </c>
      <c r="O19" t="s">
        <v>21</v>
      </c>
      <c r="P19" t="s">
        <v>4822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CBA-42BE-484D-B6B0-1560F4E3BFF8}">
  <dimension ref="A1:P5"/>
  <sheetViews>
    <sheetView workbookViewId="0">
      <selection activeCell="K16" sqref="K16"/>
    </sheetView>
  </sheetViews>
  <sheetFormatPr defaultRowHeight="14.4" x14ac:dyDescent="0.3"/>
  <cols>
    <col min="3" max="3" width="20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4823</v>
      </c>
      <c r="C2" t="s">
        <v>4824</v>
      </c>
      <c r="D2" t="s">
        <v>1116</v>
      </c>
      <c r="E2" t="s">
        <v>1117</v>
      </c>
      <c r="F2" t="s">
        <v>1196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4825</v>
      </c>
    </row>
    <row r="3" spans="1:16" x14ac:dyDescent="0.3">
      <c r="A3" t="s">
        <v>4826</v>
      </c>
      <c r="C3" t="s">
        <v>4824</v>
      </c>
      <c r="D3" t="s">
        <v>408</v>
      </c>
      <c r="E3" t="s">
        <v>409</v>
      </c>
      <c r="G3" t="s">
        <v>20</v>
      </c>
      <c r="H3">
        <v>1000</v>
      </c>
      <c r="I3">
        <v>5.375</v>
      </c>
      <c r="J3">
        <v>994.625</v>
      </c>
      <c r="O3" t="s">
        <v>412</v>
      </c>
      <c r="P3" t="s">
        <v>4827</v>
      </c>
    </row>
    <row r="4" spans="1:16" x14ac:dyDescent="0.3">
      <c r="A4" t="s">
        <v>4828</v>
      </c>
      <c r="C4" t="s">
        <v>4824</v>
      </c>
      <c r="D4" t="s">
        <v>408</v>
      </c>
      <c r="E4" t="s">
        <v>409</v>
      </c>
      <c r="G4" t="s">
        <v>20</v>
      </c>
      <c r="H4">
        <v>1100</v>
      </c>
      <c r="I4">
        <v>5.9124999999999996</v>
      </c>
      <c r="J4">
        <v>1094.0875000000001</v>
      </c>
      <c r="O4" t="s">
        <v>21</v>
      </c>
      <c r="P4" t="s">
        <v>4829</v>
      </c>
    </row>
    <row r="5" spans="1:16" x14ac:dyDescent="0.3">
      <c r="A5" t="s">
        <v>4830</v>
      </c>
      <c r="C5" t="s">
        <v>4824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4831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8B76-DCA1-4B24-84F9-45091F2F291C}">
  <dimension ref="A1:P63"/>
  <sheetViews>
    <sheetView workbookViewId="0">
      <selection activeCell="K13" sqref="K13"/>
    </sheetView>
  </sheetViews>
  <sheetFormatPr defaultRowHeight="14.4" x14ac:dyDescent="0.3"/>
  <cols>
    <col min="3" max="3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4832</v>
      </c>
      <c r="C2" t="s">
        <v>4833</v>
      </c>
      <c r="D2" t="s">
        <v>408</v>
      </c>
      <c r="E2" t="s">
        <v>409</v>
      </c>
      <c r="G2" t="s">
        <v>20</v>
      </c>
      <c r="H2">
        <v>1100</v>
      </c>
      <c r="I2">
        <v>5.9124999999999996</v>
      </c>
      <c r="J2">
        <v>1094.0875000000001</v>
      </c>
      <c r="O2" t="s">
        <v>412</v>
      </c>
      <c r="P2" t="s">
        <v>4834</v>
      </c>
    </row>
    <row r="3" spans="1:16" x14ac:dyDescent="0.3">
      <c r="A3" t="s">
        <v>4835</v>
      </c>
      <c r="B3" s="1" t="s">
        <v>4836</v>
      </c>
      <c r="C3" t="s">
        <v>4833</v>
      </c>
      <c r="D3" t="s">
        <v>1203</v>
      </c>
      <c r="E3" t="s">
        <v>19</v>
      </c>
      <c r="G3" t="s">
        <v>20</v>
      </c>
      <c r="H3">
        <v>200000</v>
      </c>
      <c r="I3">
        <v>32.25</v>
      </c>
      <c r="J3">
        <v>0</v>
      </c>
      <c r="L3">
        <v>12</v>
      </c>
      <c r="M3">
        <v>2.25</v>
      </c>
      <c r="N3">
        <v>0</v>
      </c>
      <c r="O3" t="s">
        <v>21</v>
      </c>
      <c r="P3" t="s">
        <v>4837</v>
      </c>
    </row>
    <row r="4" spans="1:16" x14ac:dyDescent="0.3">
      <c r="A4" t="s">
        <v>4838</v>
      </c>
      <c r="C4" t="s">
        <v>4833</v>
      </c>
      <c r="D4" t="s">
        <v>1203</v>
      </c>
      <c r="E4" t="s">
        <v>19</v>
      </c>
      <c r="G4" t="s">
        <v>20</v>
      </c>
      <c r="H4">
        <v>200000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412</v>
      </c>
      <c r="P4" t="s">
        <v>4839</v>
      </c>
    </row>
    <row r="5" spans="1:16" x14ac:dyDescent="0.3">
      <c r="A5" t="s">
        <v>4840</v>
      </c>
      <c r="C5" t="s">
        <v>4833</v>
      </c>
      <c r="D5" t="s">
        <v>1203</v>
      </c>
      <c r="E5" t="s">
        <v>19</v>
      </c>
      <c r="G5" t="s">
        <v>20</v>
      </c>
      <c r="H5">
        <v>200000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412</v>
      </c>
      <c r="P5" t="s">
        <v>4841</v>
      </c>
    </row>
    <row r="6" spans="1:16" x14ac:dyDescent="0.3">
      <c r="A6" t="s">
        <v>4842</v>
      </c>
      <c r="C6" t="s">
        <v>4833</v>
      </c>
      <c r="D6" t="s">
        <v>408</v>
      </c>
      <c r="E6" t="s">
        <v>409</v>
      </c>
      <c r="G6" t="s">
        <v>20</v>
      </c>
      <c r="H6">
        <v>1000</v>
      </c>
      <c r="I6">
        <v>5.375</v>
      </c>
      <c r="J6">
        <v>994.625</v>
      </c>
      <c r="O6" t="s">
        <v>412</v>
      </c>
      <c r="P6" t="s">
        <v>4843</v>
      </c>
    </row>
    <row r="7" spans="1:16" x14ac:dyDescent="0.3">
      <c r="A7" t="s">
        <v>4844</v>
      </c>
      <c r="C7" t="s">
        <v>4833</v>
      </c>
      <c r="D7" t="s">
        <v>408</v>
      </c>
      <c r="E7" t="s">
        <v>409</v>
      </c>
      <c r="G7" t="s">
        <v>20</v>
      </c>
      <c r="H7">
        <v>100000</v>
      </c>
      <c r="I7">
        <v>107.5</v>
      </c>
      <c r="J7">
        <v>99892.5</v>
      </c>
      <c r="O7" t="s">
        <v>412</v>
      </c>
      <c r="P7" t="s">
        <v>4845</v>
      </c>
    </row>
    <row r="8" spans="1:16" x14ac:dyDescent="0.3">
      <c r="A8" t="s">
        <v>4846</v>
      </c>
      <c r="B8" s="1" t="s">
        <v>4847</v>
      </c>
      <c r="C8" t="s">
        <v>4833</v>
      </c>
      <c r="D8" t="s">
        <v>29</v>
      </c>
      <c r="E8" t="s">
        <v>19</v>
      </c>
      <c r="F8" t="s">
        <v>4848</v>
      </c>
      <c r="G8" t="s">
        <v>20</v>
      </c>
      <c r="H8">
        <v>95000</v>
      </c>
      <c r="I8">
        <v>32.25</v>
      </c>
      <c r="J8">
        <v>94967.75</v>
      </c>
      <c r="L8">
        <v>12</v>
      </c>
      <c r="M8">
        <v>2.25</v>
      </c>
      <c r="N8">
        <v>0</v>
      </c>
      <c r="O8" t="s">
        <v>21</v>
      </c>
      <c r="P8" t="s">
        <v>4849</v>
      </c>
    </row>
    <row r="9" spans="1:16" x14ac:dyDescent="0.3">
      <c r="A9" t="s">
        <v>4850</v>
      </c>
      <c r="C9" t="s">
        <v>4833</v>
      </c>
      <c r="D9" t="s">
        <v>408</v>
      </c>
      <c r="E9" t="s">
        <v>409</v>
      </c>
      <c r="G9" t="s">
        <v>20</v>
      </c>
      <c r="H9">
        <v>50000</v>
      </c>
      <c r="I9">
        <v>107.5</v>
      </c>
      <c r="J9">
        <v>49892.5</v>
      </c>
      <c r="O9" t="s">
        <v>412</v>
      </c>
      <c r="P9" t="s">
        <v>4851</v>
      </c>
    </row>
    <row r="10" spans="1:16" x14ac:dyDescent="0.3">
      <c r="A10" t="s">
        <v>4852</v>
      </c>
      <c r="C10" t="s">
        <v>4833</v>
      </c>
      <c r="D10" t="s">
        <v>408</v>
      </c>
      <c r="E10" t="s">
        <v>409</v>
      </c>
      <c r="G10" t="s">
        <v>20</v>
      </c>
      <c r="H10">
        <v>100000</v>
      </c>
      <c r="I10">
        <v>107.5</v>
      </c>
      <c r="J10">
        <v>99892.5</v>
      </c>
      <c r="O10" t="s">
        <v>412</v>
      </c>
      <c r="P10" t="s">
        <v>4853</v>
      </c>
    </row>
    <row r="11" spans="1:16" x14ac:dyDescent="0.3">
      <c r="A11" t="s">
        <v>4854</v>
      </c>
      <c r="C11" t="s">
        <v>4833</v>
      </c>
      <c r="D11" t="s">
        <v>408</v>
      </c>
      <c r="E11" t="s">
        <v>409</v>
      </c>
      <c r="G11" t="s">
        <v>20</v>
      </c>
      <c r="H11">
        <v>100000</v>
      </c>
      <c r="I11">
        <v>107.5</v>
      </c>
      <c r="J11">
        <v>99892.5</v>
      </c>
      <c r="O11" t="s">
        <v>412</v>
      </c>
      <c r="P11" t="s">
        <v>4855</v>
      </c>
    </row>
    <row r="12" spans="1:16" x14ac:dyDescent="0.3">
      <c r="A12" t="s">
        <v>4856</v>
      </c>
      <c r="B12" s="1" t="s">
        <v>4857</v>
      </c>
      <c r="C12" t="s">
        <v>4833</v>
      </c>
      <c r="D12" t="s">
        <v>29</v>
      </c>
      <c r="E12" t="s">
        <v>19</v>
      </c>
      <c r="F12" t="s">
        <v>4858</v>
      </c>
      <c r="G12" t="s">
        <v>20</v>
      </c>
      <c r="H12">
        <v>9999</v>
      </c>
      <c r="I12">
        <v>32.25</v>
      </c>
      <c r="J12">
        <v>9966.75</v>
      </c>
      <c r="L12">
        <v>12</v>
      </c>
      <c r="M12">
        <v>2.25</v>
      </c>
      <c r="N12">
        <v>0</v>
      </c>
      <c r="O12" t="s">
        <v>21</v>
      </c>
      <c r="P12" t="s">
        <v>4859</v>
      </c>
    </row>
    <row r="13" spans="1:16" x14ac:dyDescent="0.3">
      <c r="A13" t="s">
        <v>4860</v>
      </c>
      <c r="C13" t="s">
        <v>4833</v>
      </c>
      <c r="D13" t="s">
        <v>404</v>
      </c>
      <c r="E13" t="s">
        <v>19</v>
      </c>
      <c r="F13" t="s">
        <v>4861</v>
      </c>
      <c r="G13" t="s">
        <v>20</v>
      </c>
      <c r="H13">
        <v>13626</v>
      </c>
      <c r="I13">
        <v>0</v>
      </c>
      <c r="J13">
        <v>0</v>
      </c>
      <c r="O13" t="s">
        <v>21</v>
      </c>
      <c r="P13" t="s">
        <v>4862</v>
      </c>
    </row>
    <row r="14" spans="1:16" x14ac:dyDescent="0.3">
      <c r="A14" t="s">
        <v>4863</v>
      </c>
      <c r="C14" t="s">
        <v>4833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4864</v>
      </c>
    </row>
    <row r="15" spans="1:16" x14ac:dyDescent="0.3">
      <c r="A15" t="s">
        <v>4865</v>
      </c>
      <c r="C15" t="s">
        <v>4833</v>
      </c>
      <c r="D15" t="s">
        <v>408</v>
      </c>
      <c r="E15" t="s">
        <v>409</v>
      </c>
      <c r="G15" t="s">
        <v>20</v>
      </c>
      <c r="H15">
        <v>5000</v>
      </c>
      <c r="I15" s="1" t="s">
        <v>1275</v>
      </c>
      <c r="J15">
        <v>4973.125</v>
      </c>
      <c r="O15" t="s">
        <v>21</v>
      </c>
      <c r="P15" t="s">
        <v>4866</v>
      </c>
    </row>
    <row r="16" spans="1:16" x14ac:dyDescent="0.3">
      <c r="A16" t="s">
        <v>4867</v>
      </c>
      <c r="C16" t="s">
        <v>4833</v>
      </c>
      <c r="D16" t="s">
        <v>408</v>
      </c>
      <c r="E16" t="s">
        <v>409</v>
      </c>
      <c r="G16" t="s">
        <v>20</v>
      </c>
      <c r="H16">
        <v>500</v>
      </c>
      <c r="I16">
        <v>2.6875</v>
      </c>
      <c r="J16">
        <v>497.3125</v>
      </c>
      <c r="O16" t="s">
        <v>21</v>
      </c>
      <c r="P16" t="s">
        <v>4868</v>
      </c>
    </row>
    <row r="17" spans="1:16" x14ac:dyDescent="0.3">
      <c r="A17" t="s">
        <v>4869</v>
      </c>
      <c r="C17" t="s">
        <v>4833</v>
      </c>
      <c r="D17" t="s">
        <v>408</v>
      </c>
      <c r="E17" t="s">
        <v>409</v>
      </c>
      <c r="G17" t="s">
        <v>20</v>
      </c>
      <c r="H17">
        <v>3100</v>
      </c>
      <c r="I17">
        <v>16.662500000000001</v>
      </c>
      <c r="J17">
        <v>3083.3375000000001</v>
      </c>
      <c r="O17" t="s">
        <v>21</v>
      </c>
      <c r="P17" t="s">
        <v>4870</v>
      </c>
    </row>
    <row r="18" spans="1:16" x14ac:dyDescent="0.3">
      <c r="A18" t="s">
        <v>4871</v>
      </c>
      <c r="C18" t="s">
        <v>4833</v>
      </c>
      <c r="D18" t="s">
        <v>404</v>
      </c>
      <c r="E18" t="s">
        <v>19</v>
      </c>
      <c r="F18" t="s">
        <v>1474</v>
      </c>
      <c r="G18" t="s">
        <v>20</v>
      </c>
      <c r="H18">
        <v>14521</v>
      </c>
      <c r="I18">
        <v>0</v>
      </c>
      <c r="J18">
        <v>0</v>
      </c>
      <c r="O18" t="s">
        <v>21</v>
      </c>
      <c r="P18" t="s">
        <v>4872</v>
      </c>
    </row>
    <row r="19" spans="1:16" x14ac:dyDescent="0.3">
      <c r="A19" t="s">
        <v>4873</v>
      </c>
      <c r="C19" t="s">
        <v>4833</v>
      </c>
      <c r="D19" t="s">
        <v>408</v>
      </c>
      <c r="E19" t="s">
        <v>409</v>
      </c>
      <c r="G19" t="s">
        <v>20</v>
      </c>
      <c r="H19">
        <v>10000</v>
      </c>
      <c r="I19" s="1" t="s">
        <v>1432</v>
      </c>
      <c r="J19">
        <v>9946.25</v>
      </c>
      <c r="O19" t="s">
        <v>21</v>
      </c>
      <c r="P19" t="s">
        <v>4874</v>
      </c>
    </row>
    <row r="20" spans="1:16" x14ac:dyDescent="0.3">
      <c r="A20" t="s">
        <v>4875</v>
      </c>
      <c r="C20" t="s">
        <v>4833</v>
      </c>
      <c r="D20" t="s">
        <v>408</v>
      </c>
      <c r="E20" t="s">
        <v>409</v>
      </c>
      <c r="G20" t="s">
        <v>20</v>
      </c>
      <c r="H20">
        <v>4600</v>
      </c>
      <c r="I20">
        <v>24.725000000000001</v>
      </c>
      <c r="J20">
        <v>4575.2749999999996</v>
      </c>
      <c r="O20" t="s">
        <v>21</v>
      </c>
      <c r="P20" t="s">
        <v>4876</v>
      </c>
    </row>
    <row r="21" spans="1:16" x14ac:dyDescent="0.3">
      <c r="A21" t="s">
        <v>4877</v>
      </c>
      <c r="C21" t="s">
        <v>4833</v>
      </c>
      <c r="D21" t="s">
        <v>404</v>
      </c>
      <c r="E21" t="s">
        <v>19</v>
      </c>
      <c r="F21" t="s">
        <v>1556</v>
      </c>
      <c r="G21" t="s">
        <v>20</v>
      </c>
      <c r="H21">
        <v>24865</v>
      </c>
      <c r="I21">
        <v>0</v>
      </c>
      <c r="J21">
        <v>0</v>
      </c>
      <c r="O21" t="s">
        <v>21</v>
      </c>
      <c r="P21" t="s">
        <v>4878</v>
      </c>
    </row>
    <row r="22" spans="1:16" x14ac:dyDescent="0.3">
      <c r="A22" t="s">
        <v>4879</v>
      </c>
      <c r="C22" t="s">
        <v>4833</v>
      </c>
      <c r="D22" t="s">
        <v>408</v>
      </c>
      <c r="E22" t="s">
        <v>409</v>
      </c>
      <c r="G22" t="s">
        <v>20</v>
      </c>
      <c r="H22">
        <v>5000</v>
      </c>
      <c r="I22" s="1" t="s">
        <v>1275</v>
      </c>
      <c r="J22">
        <v>4973.125</v>
      </c>
      <c r="O22" t="s">
        <v>21</v>
      </c>
      <c r="P22" t="s">
        <v>4880</v>
      </c>
    </row>
    <row r="23" spans="1:16" x14ac:dyDescent="0.3">
      <c r="A23" t="s">
        <v>4881</v>
      </c>
      <c r="C23" t="s">
        <v>4833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21</v>
      </c>
      <c r="P23" t="s">
        <v>4882</v>
      </c>
    </row>
    <row r="24" spans="1:16" x14ac:dyDescent="0.3">
      <c r="A24" t="s">
        <v>4883</v>
      </c>
      <c r="C24" t="s">
        <v>4833</v>
      </c>
      <c r="D24" t="s">
        <v>408</v>
      </c>
      <c r="E24" t="s">
        <v>409</v>
      </c>
      <c r="G24" t="s">
        <v>20</v>
      </c>
      <c r="H24">
        <v>10000</v>
      </c>
      <c r="I24" s="1" t="s">
        <v>1432</v>
      </c>
      <c r="J24">
        <v>9946.25</v>
      </c>
      <c r="O24" t="s">
        <v>21</v>
      </c>
      <c r="P24" t="s">
        <v>4884</v>
      </c>
    </row>
    <row r="25" spans="1:16" x14ac:dyDescent="0.3">
      <c r="A25" t="s">
        <v>4885</v>
      </c>
      <c r="C25" t="s">
        <v>4833</v>
      </c>
      <c r="D25" t="s">
        <v>404</v>
      </c>
      <c r="E25" t="s">
        <v>19</v>
      </c>
      <c r="F25" t="s">
        <v>1573</v>
      </c>
      <c r="G25" t="s">
        <v>20</v>
      </c>
      <c r="H25">
        <v>17107</v>
      </c>
      <c r="I25">
        <v>0</v>
      </c>
      <c r="J25">
        <v>0</v>
      </c>
      <c r="O25" t="s">
        <v>21</v>
      </c>
      <c r="P25" t="s">
        <v>4886</v>
      </c>
    </row>
    <row r="26" spans="1:16" x14ac:dyDescent="0.3">
      <c r="A26" t="s">
        <v>4887</v>
      </c>
      <c r="C26" t="s">
        <v>4833</v>
      </c>
      <c r="D26" t="s">
        <v>408</v>
      </c>
      <c r="E26" t="s">
        <v>409</v>
      </c>
      <c r="G26" t="s">
        <v>20</v>
      </c>
      <c r="H26">
        <v>6100</v>
      </c>
      <c r="I26">
        <v>32.787500000000001</v>
      </c>
      <c r="J26">
        <v>6067.2124999999996</v>
      </c>
      <c r="O26" t="s">
        <v>21</v>
      </c>
      <c r="P26" t="s">
        <v>4888</v>
      </c>
    </row>
    <row r="27" spans="1:16" x14ac:dyDescent="0.3">
      <c r="A27" t="s">
        <v>4889</v>
      </c>
      <c r="C27" t="s">
        <v>4833</v>
      </c>
      <c r="D27" t="s">
        <v>408</v>
      </c>
      <c r="E27" t="s">
        <v>409</v>
      </c>
      <c r="G27" t="s">
        <v>20</v>
      </c>
      <c r="H27">
        <v>5100</v>
      </c>
      <c r="I27">
        <v>27.412500000000001</v>
      </c>
      <c r="J27">
        <v>5072.5874999999996</v>
      </c>
      <c r="O27" t="s">
        <v>21</v>
      </c>
      <c r="P27" t="s">
        <v>4890</v>
      </c>
    </row>
    <row r="28" spans="1:16" x14ac:dyDescent="0.3">
      <c r="A28" t="s">
        <v>4891</v>
      </c>
      <c r="C28" t="s">
        <v>4833</v>
      </c>
      <c r="D28" t="s">
        <v>408</v>
      </c>
      <c r="E28" t="s">
        <v>409</v>
      </c>
      <c r="G28" t="s">
        <v>20</v>
      </c>
      <c r="H28">
        <v>2000</v>
      </c>
      <c r="I28">
        <v>10.75</v>
      </c>
      <c r="J28">
        <v>1989.25</v>
      </c>
      <c r="O28" t="s">
        <v>21</v>
      </c>
      <c r="P28" t="s">
        <v>4892</v>
      </c>
    </row>
    <row r="29" spans="1:16" x14ac:dyDescent="0.3">
      <c r="A29" t="s">
        <v>4893</v>
      </c>
      <c r="C29" t="s">
        <v>4833</v>
      </c>
      <c r="D29" t="s">
        <v>408</v>
      </c>
      <c r="E29" t="s">
        <v>409</v>
      </c>
      <c r="G29" t="s">
        <v>20</v>
      </c>
      <c r="H29">
        <v>5200</v>
      </c>
      <c r="I29">
        <v>27.95</v>
      </c>
      <c r="J29">
        <v>5172.05</v>
      </c>
      <c r="O29" t="s">
        <v>412</v>
      </c>
      <c r="P29" t="s">
        <v>4894</v>
      </c>
    </row>
    <row r="30" spans="1:16" x14ac:dyDescent="0.3">
      <c r="A30" t="s">
        <v>4895</v>
      </c>
      <c r="C30" t="s">
        <v>4833</v>
      </c>
      <c r="D30" t="s">
        <v>408</v>
      </c>
      <c r="E30" t="s">
        <v>409</v>
      </c>
      <c r="G30" t="s">
        <v>20</v>
      </c>
      <c r="H30">
        <v>4000</v>
      </c>
      <c r="I30">
        <v>21.5</v>
      </c>
      <c r="J30">
        <v>3978.5</v>
      </c>
      <c r="O30" t="s">
        <v>21</v>
      </c>
      <c r="P30" t="s">
        <v>4896</v>
      </c>
    </row>
    <row r="31" spans="1:16" x14ac:dyDescent="0.3">
      <c r="A31" t="s">
        <v>4897</v>
      </c>
      <c r="C31" t="s">
        <v>4833</v>
      </c>
      <c r="D31" t="s">
        <v>404</v>
      </c>
      <c r="E31" t="s">
        <v>19</v>
      </c>
      <c r="F31" t="s">
        <v>463</v>
      </c>
      <c r="G31" t="s">
        <v>20</v>
      </c>
      <c r="H31">
        <v>7459</v>
      </c>
      <c r="I31">
        <v>0</v>
      </c>
      <c r="J31">
        <v>0</v>
      </c>
      <c r="O31" t="s">
        <v>21</v>
      </c>
      <c r="P31" t="s">
        <v>4898</v>
      </c>
    </row>
    <row r="32" spans="1:16" x14ac:dyDescent="0.3">
      <c r="A32" t="s">
        <v>4899</v>
      </c>
      <c r="C32" t="s">
        <v>4833</v>
      </c>
      <c r="D32" t="s">
        <v>408</v>
      </c>
      <c r="E32" t="s">
        <v>409</v>
      </c>
      <c r="G32" t="s">
        <v>20</v>
      </c>
      <c r="H32">
        <v>3500</v>
      </c>
      <c r="I32">
        <v>18.8125</v>
      </c>
      <c r="J32">
        <v>3481.1875</v>
      </c>
      <c r="O32" t="s">
        <v>21</v>
      </c>
      <c r="P32" t="s">
        <v>4900</v>
      </c>
    </row>
    <row r="33" spans="1:16" x14ac:dyDescent="0.3">
      <c r="A33" t="s">
        <v>4901</v>
      </c>
      <c r="C33" t="s">
        <v>4833</v>
      </c>
      <c r="D33" t="s">
        <v>408</v>
      </c>
      <c r="E33" t="s">
        <v>409</v>
      </c>
      <c r="G33" t="s">
        <v>20</v>
      </c>
      <c r="H33">
        <v>4000</v>
      </c>
      <c r="I33">
        <v>21.5</v>
      </c>
      <c r="J33">
        <v>3978.5</v>
      </c>
      <c r="O33" t="s">
        <v>21</v>
      </c>
      <c r="P33" t="s">
        <v>4902</v>
      </c>
    </row>
    <row r="34" spans="1:16" x14ac:dyDescent="0.3">
      <c r="A34" t="s">
        <v>4903</v>
      </c>
      <c r="C34" t="s">
        <v>4833</v>
      </c>
      <c r="D34" t="s">
        <v>404</v>
      </c>
      <c r="E34" t="s">
        <v>19</v>
      </c>
      <c r="F34" t="s">
        <v>474</v>
      </c>
      <c r="G34" t="s">
        <v>20</v>
      </c>
      <c r="H34">
        <v>11438</v>
      </c>
      <c r="I34">
        <v>0</v>
      </c>
      <c r="J34">
        <v>0</v>
      </c>
      <c r="O34" t="s">
        <v>21</v>
      </c>
      <c r="P34" t="s">
        <v>4904</v>
      </c>
    </row>
    <row r="35" spans="1:16" x14ac:dyDescent="0.3">
      <c r="A35" t="s">
        <v>4905</v>
      </c>
      <c r="C35" t="s">
        <v>4833</v>
      </c>
      <c r="D35" t="s">
        <v>408</v>
      </c>
      <c r="E35" t="s">
        <v>409</v>
      </c>
      <c r="G35" t="s">
        <v>20</v>
      </c>
      <c r="H35">
        <v>1300</v>
      </c>
      <c r="I35">
        <v>6.9874999999999998</v>
      </c>
      <c r="J35">
        <v>1293.0125</v>
      </c>
      <c r="O35" t="s">
        <v>21</v>
      </c>
      <c r="P35" t="s">
        <v>4906</v>
      </c>
    </row>
    <row r="36" spans="1:16" x14ac:dyDescent="0.3">
      <c r="A36" t="s">
        <v>4907</v>
      </c>
      <c r="C36" t="s">
        <v>4833</v>
      </c>
      <c r="D36" t="s">
        <v>408</v>
      </c>
      <c r="E36" t="s">
        <v>409</v>
      </c>
      <c r="G36" t="s">
        <v>20</v>
      </c>
      <c r="H36">
        <v>10200</v>
      </c>
      <c r="I36">
        <v>54.825000000000003</v>
      </c>
      <c r="J36">
        <v>10145.174999999999</v>
      </c>
      <c r="O36" t="s">
        <v>21</v>
      </c>
      <c r="P36" t="s">
        <v>4908</v>
      </c>
    </row>
    <row r="37" spans="1:16" x14ac:dyDescent="0.3">
      <c r="A37" t="s">
        <v>4909</v>
      </c>
      <c r="C37" t="s">
        <v>4833</v>
      </c>
      <c r="D37" t="s">
        <v>404</v>
      </c>
      <c r="E37" t="s">
        <v>19</v>
      </c>
      <c r="F37" t="s">
        <v>485</v>
      </c>
      <c r="G37" t="s">
        <v>20</v>
      </c>
      <c r="H37">
        <v>7857</v>
      </c>
      <c r="I37">
        <v>0</v>
      </c>
      <c r="J37">
        <v>0</v>
      </c>
      <c r="O37" t="s">
        <v>21</v>
      </c>
      <c r="P37" t="s">
        <v>4910</v>
      </c>
    </row>
    <row r="38" spans="1:16" x14ac:dyDescent="0.3">
      <c r="A38" t="s">
        <v>4911</v>
      </c>
      <c r="C38" t="s">
        <v>4833</v>
      </c>
      <c r="D38" t="s">
        <v>408</v>
      </c>
      <c r="E38" t="s">
        <v>409</v>
      </c>
      <c r="G38" t="s">
        <v>20</v>
      </c>
      <c r="H38">
        <v>2800</v>
      </c>
      <c r="I38">
        <v>15.05</v>
      </c>
      <c r="J38">
        <v>2784.95</v>
      </c>
      <c r="O38" t="s">
        <v>21</v>
      </c>
      <c r="P38" t="s">
        <v>4912</v>
      </c>
    </row>
    <row r="39" spans="1:16" x14ac:dyDescent="0.3">
      <c r="A39" t="s">
        <v>4913</v>
      </c>
      <c r="C39" t="s">
        <v>4833</v>
      </c>
      <c r="D39" t="s">
        <v>408</v>
      </c>
      <c r="E39" t="s">
        <v>409</v>
      </c>
      <c r="G39" t="s">
        <v>20</v>
      </c>
      <c r="H39">
        <v>4100</v>
      </c>
      <c r="I39">
        <v>22.037500000000001</v>
      </c>
      <c r="J39">
        <v>4077.9625000000001</v>
      </c>
      <c r="O39" t="s">
        <v>21</v>
      </c>
      <c r="P39" t="s">
        <v>4914</v>
      </c>
    </row>
    <row r="40" spans="1:16" x14ac:dyDescent="0.3">
      <c r="A40" t="s">
        <v>4915</v>
      </c>
      <c r="C40" t="s">
        <v>4833</v>
      </c>
      <c r="D40" t="s">
        <v>408</v>
      </c>
      <c r="E40" t="s">
        <v>409</v>
      </c>
      <c r="G40" t="s">
        <v>20</v>
      </c>
      <c r="H40">
        <v>1000</v>
      </c>
      <c r="I40">
        <v>5.375</v>
      </c>
      <c r="J40">
        <v>994.625</v>
      </c>
      <c r="O40" t="s">
        <v>21</v>
      </c>
      <c r="P40" t="s">
        <v>4916</v>
      </c>
    </row>
    <row r="41" spans="1:16" x14ac:dyDescent="0.3">
      <c r="A41" t="s">
        <v>4917</v>
      </c>
      <c r="C41" t="s">
        <v>4833</v>
      </c>
      <c r="D41" t="s">
        <v>18</v>
      </c>
      <c r="E41" t="s">
        <v>19</v>
      </c>
      <c r="G41" t="s">
        <v>20</v>
      </c>
      <c r="H41">
        <v>59871.5</v>
      </c>
      <c r="I41">
        <v>0</v>
      </c>
      <c r="J41">
        <v>59871.5</v>
      </c>
      <c r="O41" t="s">
        <v>21</v>
      </c>
      <c r="P41" t="s">
        <v>4918</v>
      </c>
    </row>
    <row r="42" spans="1:16" x14ac:dyDescent="0.3">
      <c r="A42" t="s">
        <v>4919</v>
      </c>
      <c r="B42" s="1" t="s">
        <v>4920</v>
      </c>
      <c r="C42" t="s">
        <v>4833</v>
      </c>
      <c r="D42" t="s">
        <v>1203</v>
      </c>
      <c r="E42" t="s">
        <v>19</v>
      </c>
      <c r="G42" t="s">
        <v>20</v>
      </c>
      <c r="H42">
        <v>900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4921</v>
      </c>
    </row>
    <row r="43" spans="1:16" x14ac:dyDescent="0.3">
      <c r="A43" t="s">
        <v>4922</v>
      </c>
      <c r="C43" t="s">
        <v>4833</v>
      </c>
      <c r="D43" t="s">
        <v>18</v>
      </c>
      <c r="E43" t="s">
        <v>19</v>
      </c>
      <c r="F43" t="s">
        <v>4923</v>
      </c>
      <c r="G43" t="s">
        <v>20</v>
      </c>
      <c r="H43">
        <v>60000</v>
      </c>
      <c r="I43">
        <v>0</v>
      </c>
      <c r="J43">
        <v>60000</v>
      </c>
      <c r="O43" t="s">
        <v>21</v>
      </c>
      <c r="P43" t="s">
        <v>4924</v>
      </c>
    </row>
    <row r="44" spans="1:16" x14ac:dyDescent="0.3">
      <c r="A44" t="s">
        <v>4925</v>
      </c>
      <c r="C44" t="s">
        <v>4833</v>
      </c>
      <c r="D44" t="s">
        <v>18</v>
      </c>
      <c r="E44" t="s">
        <v>19</v>
      </c>
      <c r="F44" t="s">
        <v>4923</v>
      </c>
      <c r="G44" t="s">
        <v>20</v>
      </c>
      <c r="H44">
        <v>60000</v>
      </c>
      <c r="I44">
        <v>0</v>
      </c>
      <c r="J44">
        <v>60000</v>
      </c>
      <c r="O44" t="s">
        <v>21</v>
      </c>
      <c r="P44" t="s">
        <v>4926</v>
      </c>
    </row>
    <row r="45" spans="1:16" x14ac:dyDescent="0.3">
      <c r="A45" t="s">
        <v>4927</v>
      </c>
      <c r="C45" t="s">
        <v>4833</v>
      </c>
      <c r="D45" t="s">
        <v>404</v>
      </c>
      <c r="E45" t="s">
        <v>19</v>
      </c>
      <c r="F45" t="s">
        <v>575</v>
      </c>
      <c r="G45" t="s">
        <v>20</v>
      </c>
      <c r="H45">
        <v>58931</v>
      </c>
      <c r="I45">
        <v>0</v>
      </c>
      <c r="J45">
        <v>0</v>
      </c>
      <c r="O45" t="s">
        <v>21</v>
      </c>
      <c r="P45" t="s">
        <v>4928</v>
      </c>
    </row>
    <row r="46" spans="1:16" x14ac:dyDescent="0.3">
      <c r="A46" t="s">
        <v>4929</v>
      </c>
      <c r="C46" t="s">
        <v>4833</v>
      </c>
      <c r="D46" t="s">
        <v>408</v>
      </c>
      <c r="E46" t="s">
        <v>409</v>
      </c>
      <c r="G46" t="s">
        <v>20</v>
      </c>
      <c r="H46">
        <v>5000</v>
      </c>
      <c r="I46" s="1" t="s">
        <v>1275</v>
      </c>
      <c r="J46">
        <v>4973.125</v>
      </c>
      <c r="O46" t="s">
        <v>21</v>
      </c>
      <c r="P46" t="s">
        <v>4930</v>
      </c>
    </row>
    <row r="47" spans="1:16" x14ac:dyDescent="0.3">
      <c r="A47" t="s">
        <v>4931</v>
      </c>
      <c r="C47" t="s">
        <v>4833</v>
      </c>
      <c r="D47" t="s">
        <v>408</v>
      </c>
      <c r="E47" t="s">
        <v>409</v>
      </c>
      <c r="G47" t="s">
        <v>20</v>
      </c>
      <c r="H47">
        <v>5000</v>
      </c>
      <c r="I47" s="1" t="s">
        <v>1275</v>
      </c>
      <c r="J47">
        <v>4973.125</v>
      </c>
      <c r="O47" t="s">
        <v>412</v>
      </c>
      <c r="P47" t="s">
        <v>4932</v>
      </c>
    </row>
    <row r="48" spans="1:16" x14ac:dyDescent="0.3">
      <c r="A48" t="s">
        <v>4933</v>
      </c>
      <c r="C48" t="s">
        <v>4833</v>
      </c>
      <c r="D48" t="s">
        <v>408</v>
      </c>
      <c r="E48" t="s">
        <v>409</v>
      </c>
      <c r="G48" t="s">
        <v>20</v>
      </c>
      <c r="H48">
        <v>5000</v>
      </c>
      <c r="I48" s="1" t="s">
        <v>1275</v>
      </c>
      <c r="J48">
        <v>4973.125</v>
      </c>
      <c r="O48" t="s">
        <v>412</v>
      </c>
      <c r="P48" t="s">
        <v>4934</v>
      </c>
    </row>
    <row r="49" spans="1:16" x14ac:dyDescent="0.3">
      <c r="A49" t="s">
        <v>4935</v>
      </c>
      <c r="C49" t="s">
        <v>4833</v>
      </c>
      <c r="D49" t="s">
        <v>408</v>
      </c>
      <c r="E49" t="s">
        <v>409</v>
      </c>
      <c r="G49" t="s">
        <v>20</v>
      </c>
      <c r="H49">
        <v>5000</v>
      </c>
      <c r="I49" s="1" t="s">
        <v>1275</v>
      </c>
      <c r="J49">
        <v>4973.125</v>
      </c>
      <c r="O49" t="s">
        <v>21</v>
      </c>
      <c r="P49" t="s">
        <v>4936</v>
      </c>
    </row>
    <row r="50" spans="1:16" x14ac:dyDescent="0.3">
      <c r="A50" t="s">
        <v>4937</v>
      </c>
      <c r="C50" t="s">
        <v>4833</v>
      </c>
      <c r="D50" t="s">
        <v>408</v>
      </c>
      <c r="E50" t="s">
        <v>409</v>
      </c>
      <c r="G50" t="s">
        <v>20</v>
      </c>
      <c r="H50">
        <v>2000</v>
      </c>
      <c r="I50">
        <v>10.75</v>
      </c>
      <c r="J50">
        <v>1989.25</v>
      </c>
      <c r="O50" t="s">
        <v>21</v>
      </c>
      <c r="P50" t="s">
        <v>4938</v>
      </c>
    </row>
    <row r="51" spans="1:16" x14ac:dyDescent="0.3">
      <c r="A51" t="s">
        <v>4939</v>
      </c>
      <c r="C51" t="s">
        <v>4833</v>
      </c>
      <c r="D51" t="s">
        <v>408</v>
      </c>
      <c r="E51" t="s">
        <v>409</v>
      </c>
      <c r="G51" t="s">
        <v>20</v>
      </c>
      <c r="H51">
        <v>5000</v>
      </c>
      <c r="I51" s="1" t="s">
        <v>1275</v>
      </c>
      <c r="J51">
        <v>4973.125</v>
      </c>
      <c r="O51" t="s">
        <v>21</v>
      </c>
      <c r="P51" t="s">
        <v>4940</v>
      </c>
    </row>
    <row r="52" spans="1:16" x14ac:dyDescent="0.3">
      <c r="A52" t="s">
        <v>4941</v>
      </c>
      <c r="C52" t="s">
        <v>4833</v>
      </c>
      <c r="D52" t="s">
        <v>408</v>
      </c>
      <c r="E52" t="s">
        <v>409</v>
      </c>
      <c r="G52" t="s">
        <v>20</v>
      </c>
      <c r="H52">
        <v>20000</v>
      </c>
      <c r="I52">
        <v>157.5</v>
      </c>
      <c r="J52">
        <v>19842.5</v>
      </c>
      <c r="O52" t="s">
        <v>21</v>
      </c>
      <c r="P52" t="s">
        <v>4942</v>
      </c>
    </row>
    <row r="53" spans="1:16" x14ac:dyDescent="0.3">
      <c r="A53" t="s">
        <v>4943</v>
      </c>
      <c r="C53" t="s">
        <v>4833</v>
      </c>
      <c r="D53" t="s">
        <v>408</v>
      </c>
      <c r="E53" t="s">
        <v>409</v>
      </c>
      <c r="G53" t="s">
        <v>20</v>
      </c>
      <c r="H53">
        <v>7200</v>
      </c>
      <c r="I53">
        <v>38.700000000000003</v>
      </c>
      <c r="J53">
        <v>7161.3</v>
      </c>
      <c r="O53" t="s">
        <v>21</v>
      </c>
      <c r="P53" t="s">
        <v>4944</v>
      </c>
    </row>
    <row r="54" spans="1:16" x14ac:dyDescent="0.3">
      <c r="A54" t="s">
        <v>4945</v>
      </c>
      <c r="C54" t="s">
        <v>4833</v>
      </c>
      <c r="D54" t="s">
        <v>408</v>
      </c>
      <c r="E54" t="s">
        <v>409</v>
      </c>
      <c r="G54" t="s">
        <v>20</v>
      </c>
      <c r="H54">
        <v>5000</v>
      </c>
      <c r="I54" s="1" t="s">
        <v>1275</v>
      </c>
      <c r="J54">
        <v>4973.125</v>
      </c>
      <c r="O54" t="s">
        <v>21</v>
      </c>
      <c r="P54" t="s">
        <v>4946</v>
      </c>
    </row>
    <row r="55" spans="1:16" x14ac:dyDescent="0.3">
      <c r="A55" t="s">
        <v>4947</v>
      </c>
      <c r="C55" t="s">
        <v>4833</v>
      </c>
      <c r="D55" t="s">
        <v>408</v>
      </c>
      <c r="E55" t="s">
        <v>409</v>
      </c>
      <c r="G55" t="s">
        <v>20</v>
      </c>
      <c r="H55">
        <v>2000</v>
      </c>
      <c r="I55">
        <v>10.75</v>
      </c>
      <c r="J55">
        <v>1989.25</v>
      </c>
      <c r="O55" t="s">
        <v>21</v>
      </c>
      <c r="P55" t="s">
        <v>4948</v>
      </c>
    </row>
    <row r="56" spans="1:16" x14ac:dyDescent="0.3">
      <c r="A56" t="s">
        <v>4949</v>
      </c>
      <c r="C56" t="s">
        <v>4833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4950</v>
      </c>
    </row>
    <row r="57" spans="1:16" x14ac:dyDescent="0.3">
      <c r="A57" t="s">
        <v>4951</v>
      </c>
      <c r="C57" t="s">
        <v>4833</v>
      </c>
      <c r="D57" t="s">
        <v>408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4952</v>
      </c>
    </row>
    <row r="58" spans="1:16" x14ac:dyDescent="0.3">
      <c r="A58" t="s">
        <v>4953</v>
      </c>
      <c r="C58" t="s">
        <v>4833</v>
      </c>
      <c r="D58" t="s">
        <v>1203</v>
      </c>
      <c r="E58" t="s">
        <v>19</v>
      </c>
      <c r="G58" t="s">
        <v>20</v>
      </c>
      <c r="H58">
        <v>2000</v>
      </c>
      <c r="I58">
        <v>25</v>
      </c>
      <c r="J58">
        <v>0</v>
      </c>
      <c r="O58" t="s">
        <v>412</v>
      </c>
      <c r="P58" t="s">
        <v>4954</v>
      </c>
    </row>
    <row r="59" spans="1:16" x14ac:dyDescent="0.3">
      <c r="A59" t="s">
        <v>4955</v>
      </c>
      <c r="C59" t="s">
        <v>4833</v>
      </c>
      <c r="D59" t="s">
        <v>1116</v>
      </c>
      <c r="E59" t="s">
        <v>1117</v>
      </c>
      <c r="F59" t="s">
        <v>1118</v>
      </c>
      <c r="G59" t="s">
        <v>20</v>
      </c>
      <c r="H59">
        <v>0</v>
      </c>
      <c r="I59">
        <v>0</v>
      </c>
      <c r="J59">
        <v>0</v>
      </c>
      <c r="O59" t="s">
        <v>21</v>
      </c>
      <c r="P59" t="s">
        <v>4956</v>
      </c>
    </row>
    <row r="60" spans="1:16" x14ac:dyDescent="0.3">
      <c r="A60" t="s">
        <v>4957</v>
      </c>
      <c r="B60" s="1" t="s">
        <v>4958</v>
      </c>
      <c r="C60" t="s">
        <v>4833</v>
      </c>
      <c r="D60" t="s">
        <v>29</v>
      </c>
      <c r="E60" t="s">
        <v>19</v>
      </c>
      <c r="F60" t="s">
        <v>4959</v>
      </c>
      <c r="G60" t="s">
        <v>20</v>
      </c>
      <c r="H60">
        <v>1000</v>
      </c>
      <c r="I60">
        <v>32.25</v>
      </c>
      <c r="J60">
        <v>967.75</v>
      </c>
      <c r="L60">
        <v>12</v>
      </c>
      <c r="M60">
        <v>2.25</v>
      </c>
      <c r="N60">
        <v>0</v>
      </c>
      <c r="O60" t="s">
        <v>21</v>
      </c>
      <c r="P60" t="s">
        <v>4960</v>
      </c>
    </row>
    <row r="61" spans="1:16" x14ac:dyDescent="0.3">
      <c r="A61" t="s">
        <v>4961</v>
      </c>
      <c r="C61" t="s">
        <v>4833</v>
      </c>
      <c r="D61" t="s">
        <v>1116</v>
      </c>
      <c r="E61" t="s">
        <v>1117</v>
      </c>
      <c r="F61" t="s">
        <v>1196</v>
      </c>
      <c r="G61" t="s">
        <v>20</v>
      </c>
      <c r="H61">
        <v>0</v>
      </c>
      <c r="I61">
        <v>0</v>
      </c>
      <c r="J61">
        <v>0</v>
      </c>
      <c r="O61" t="s">
        <v>21</v>
      </c>
      <c r="P61" t="s">
        <v>4962</v>
      </c>
    </row>
    <row r="62" spans="1:16" x14ac:dyDescent="0.3">
      <c r="A62" t="s">
        <v>4963</v>
      </c>
      <c r="C62" t="s">
        <v>4833</v>
      </c>
      <c r="D62" t="s">
        <v>408</v>
      </c>
      <c r="E62" t="s">
        <v>409</v>
      </c>
      <c r="G62" t="s">
        <v>20</v>
      </c>
      <c r="H62">
        <v>1100</v>
      </c>
      <c r="I62">
        <v>5.9124999999999996</v>
      </c>
      <c r="J62">
        <v>1094.0875000000001</v>
      </c>
      <c r="O62" t="s">
        <v>21</v>
      </c>
      <c r="P62" t="s">
        <v>4964</v>
      </c>
    </row>
    <row r="63" spans="1:16" x14ac:dyDescent="0.3">
      <c r="A63" t="s">
        <v>4965</v>
      </c>
      <c r="C63" t="s">
        <v>4833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4966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F7C4-DC65-41ED-80FC-F526B983ADB4}">
  <dimension ref="A1:P36"/>
  <sheetViews>
    <sheetView workbookViewId="0">
      <selection activeCell="N12" sqref="N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4967</v>
      </c>
      <c r="B2" s="1" t="s">
        <v>4968</v>
      </c>
      <c r="C2" t="s">
        <v>4969</v>
      </c>
      <c r="D2" t="s">
        <v>1203</v>
      </c>
      <c r="E2" t="s">
        <v>19</v>
      </c>
      <c r="G2" t="s">
        <v>20</v>
      </c>
      <c r="H2">
        <v>130850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4970</v>
      </c>
    </row>
    <row r="3" spans="1:16" x14ac:dyDescent="0.3">
      <c r="A3" t="s">
        <v>4971</v>
      </c>
      <c r="C3" t="s">
        <v>4969</v>
      </c>
      <c r="D3" t="s">
        <v>408</v>
      </c>
      <c r="E3" t="s">
        <v>409</v>
      </c>
      <c r="G3" t="s">
        <v>20</v>
      </c>
      <c r="H3">
        <v>105500</v>
      </c>
      <c r="I3">
        <v>107.5</v>
      </c>
      <c r="J3">
        <v>105392.5</v>
      </c>
      <c r="O3" t="s">
        <v>412</v>
      </c>
      <c r="P3" t="s">
        <v>4972</v>
      </c>
    </row>
    <row r="4" spans="1:16" x14ac:dyDescent="0.3">
      <c r="A4" t="s">
        <v>4973</v>
      </c>
      <c r="C4" t="s">
        <v>4969</v>
      </c>
      <c r="D4" t="s">
        <v>404</v>
      </c>
      <c r="E4" t="s">
        <v>19</v>
      </c>
      <c r="F4" t="s">
        <v>1422</v>
      </c>
      <c r="G4" t="s">
        <v>20</v>
      </c>
      <c r="H4">
        <v>19395</v>
      </c>
      <c r="I4">
        <v>0</v>
      </c>
      <c r="J4">
        <v>0</v>
      </c>
      <c r="O4" t="s">
        <v>21</v>
      </c>
      <c r="P4" t="s">
        <v>4974</v>
      </c>
    </row>
    <row r="5" spans="1:16" x14ac:dyDescent="0.3">
      <c r="A5" t="s">
        <v>4975</v>
      </c>
      <c r="C5" t="s">
        <v>4969</v>
      </c>
      <c r="D5" t="s">
        <v>408</v>
      </c>
      <c r="E5" t="s">
        <v>409</v>
      </c>
      <c r="G5" t="s">
        <v>20</v>
      </c>
      <c r="H5">
        <v>14500</v>
      </c>
      <c r="I5">
        <v>77.9375</v>
      </c>
      <c r="J5">
        <v>14422.0625</v>
      </c>
      <c r="O5" t="s">
        <v>21</v>
      </c>
      <c r="P5" t="s">
        <v>4976</v>
      </c>
    </row>
    <row r="6" spans="1:16" x14ac:dyDescent="0.3">
      <c r="A6" t="s">
        <v>4977</v>
      </c>
      <c r="C6" t="s">
        <v>4969</v>
      </c>
      <c r="D6" t="s">
        <v>408</v>
      </c>
      <c r="E6" t="s">
        <v>409</v>
      </c>
      <c r="G6" t="s">
        <v>20</v>
      </c>
      <c r="H6">
        <v>15000</v>
      </c>
      <c r="I6">
        <v>80.625</v>
      </c>
      <c r="J6">
        <v>14919.375</v>
      </c>
      <c r="O6" t="s">
        <v>412</v>
      </c>
      <c r="P6" t="s">
        <v>4978</v>
      </c>
    </row>
    <row r="7" spans="1:16" x14ac:dyDescent="0.3">
      <c r="A7" t="s">
        <v>4979</v>
      </c>
      <c r="C7" t="s">
        <v>4969</v>
      </c>
      <c r="D7" t="s">
        <v>408</v>
      </c>
      <c r="E7" t="s">
        <v>409</v>
      </c>
      <c r="G7" t="s">
        <v>20</v>
      </c>
      <c r="H7">
        <v>24500</v>
      </c>
      <c r="I7">
        <v>107.5</v>
      </c>
      <c r="J7">
        <v>24392.5</v>
      </c>
      <c r="O7" t="s">
        <v>412</v>
      </c>
      <c r="P7" t="s">
        <v>4980</v>
      </c>
    </row>
    <row r="8" spans="1:16" x14ac:dyDescent="0.3">
      <c r="A8" t="s">
        <v>4981</v>
      </c>
      <c r="C8" t="s">
        <v>4969</v>
      </c>
      <c r="D8" t="s">
        <v>408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4982</v>
      </c>
    </row>
    <row r="9" spans="1:16" x14ac:dyDescent="0.3">
      <c r="A9" t="s">
        <v>4983</v>
      </c>
      <c r="C9" t="s">
        <v>4969</v>
      </c>
      <c r="D9" t="s">
        <v>408</v>
      </c>
      <c r="E9" t="s">
        <v>409</v>
      </c>
      <c r="G9" t="s">
        <v>20</v>
      </c>
      <c r="H9">
        <v>5000</v>
      </c>
      <c r="I9" s="1" t="s">
        <v>1275</v>
      </c>
      <c r="J9">
        <v>4973.125</v>
      </c>
      <c r="O9" t="s">
        <v>412</v>
      </c>
      <c r="P9" t="s">
        <v>4984</v>
      </c>
    </row>
    <row r="10" spans="1:16" x14ac:dyDescent="0.3">
      <c r="A10" t="s">
        <v>4985</v>
      </c>
      <c r="C10" t="s">
        <v>4969</v>
      </c>
      <c r="D10" t="s">
        <v>408</v>
      </c>
      <c r="E10" t="s">
        <v>409</v>
      </c>
      <c r="G10" t="s">
        <v>20</v>
      </c>
      <c r="H10">
        <v>3000</v>
      </c>
      <c r="I10" s="1" t="s">
        <v>1393</v>
      </c>
      <c r="J10">
        <v>2983.875</v>
      </c>
      <c r="O10" t="s">
        <v>412</v>
      </c>
      <c r="P10" t="s">
        <v>4986</v>
      </c>
    </row>
    <row r="11" spans="1:16" x14ac:dyDescent="0.3">
      <c r="A11" t="s">
        <v>4987</v>
      </c>
      <c r="C11" t="s">
        <v>4969</v>
      </c>
      <c r="D11" t="s">
        <v>408</v>
      </c>
      <c r="E11" t="s">
        <v>409</v>
      </c>
      <c r="G11" t="s">
        <v>20</v>
      </c>
      <c r="H11">
        <v>2000</v>
      </c>
      <c r="I11">
        <v>10.75</v>
      </c>
      <c r="J11">
        <v>1989.25</v>
      </c>
      <c r="O11" t="s">
        <v>21</v>
      </c>
      <c r="P11" t="s">
        <v>4988</v>
      </c>
    </row>
    <row r="12" spans="1:16" x14ac:dyDescent="0.3">
      <c r="A12" t="s">
        <v>4989</v>
      </c>
      <c r="C12" t="s">
        <v>4969</v>
      </c>
      <c r="D12" t="s">
        <v>408</v>
      </c>
      <c r="E12" t="s">
        <v>409</v>
      </c>
      <c r="G12" t="s">
        <v>20</v>
      </c>
      <c r="H12">
        <v>5000</v>
      </c>
      <c r="I12" s="1" t="s">
        <v>1275</v>
      </c>
      <c r="J12">
        <v>4973.125</v>
      </c>
      <c r="O12" t="s">
        <v>412</v>
      </c>
      <c r="P12" t="s">
        <v>4990</v>
      </c>
    </row>
    <row r="13" spans="1:16" x14ac:dyDescent="0.3">
      <c r="A13" t="s">
        <v>4991</v>
      </c>
      <c r="C13" t="s">
        <v>4969</v>
      </c>
      <c r="D13" t="s">
        <v>408</v>
      </c>
      <c r="E13" t="s">
        <v>409</v>
      </c>
      <c r="G13" t="s">
        <v>20</v>
      </c>
      <c r="H13">
        <v>3000</v>
      </c>
      <c r="I13" s="1" t="s">
        <v>1393</v>
      </c>
      <c r="J13">
        <v>2983.875</v>
      </c>
      <c r="O13" t="s">
        <v>412</v>
      </c>
      <c r="P13" t="s">
        <v>4992</v>
      </c>
    </row>
    <row r="14" spans="1:16" x14ac:dyDescent="0.3">
      <c r="A14" t="s">
        <v>4993</v>
      </c>
      <c r="C14" t="s">
        <v>4969</v>
      </c>
      <c r="D14" t="s">
        <v>404</v>
      </c>
      <c r="E14" t="s">
        <v>19</v>
      </c>
      <c r="F14" t="s">
        <v>4313</v>
      </c>
      <c r="G14" t="s">
        <v>20</v>
      </c>
      <c r="H14">
        <v>101604</v>
      </c>
      <c r="I14">
        <v>0</v>
      </c>
      <c r="J14">
        <v>0</v>
      </c>
      <c r="O14" t="s">
        <v>21</v>
      </c>
      <c r="P14" t="s">
        <v>4994</v>
      </c>
    </row>
    <row r="15" spans="1:16" x14ac:dyDescent="0.3">
      <c r="A15" t="s">
        <v>4995</v>
      </c>
      <c r="B15" s="1" t="s">
        <v>4996</v>
      </c>
      <c r="C15" t="s">
        <v>4969</v>
      </c>
      <c r="D15" t="s">
        <v>29</v>
      </c>
      <c r="E15" t="s">
        <v>1217</v>
      </c>
      <c r="F15" t="s">
        <v>4997</v>
      </c>
      <c r="G15" t="s">
        <v>20</v>
      </c>
      <c r="H15">
        <v>90000</v>
      </c>
      <c r="I15">
        <v>32.25</v>
      </c>
      <c r="J15">
        <v>89967.75</v>
      </c>
      <c r="O15" t="s">
        <v>21</v>
      </c>
      <c r="P15" t="s">
        <v>4998</v>
      </c>
    </row>
    <row r="16" spans="1:16" x14ac:dyDescent="0.3">
      <c r="A16" t="s">
        <v>4999</v>
      </c>
      <c r="C16" t="s">
        <v>4969</v>
      </c>
      <c r="D16" t="s">
        <v>408</v>
      </c>
      <c r="E16" t="s">
        <v>409</v>
      </c>
      <c r="G16" t="s">
        <v>20</v>
      </c>
      <c r="H16">
        <v>10000</v>
      </c>
      <c r="I16" s="1" t="s">
        <v>1432</v>
      </c>
      <c r="J16">
        <v>9946.25</v>
      </c>
      <c r="O16" t="s">
        <v>412</v>
      </c>
      <c r="P16" t="s">
        <v>5000</v>
      </c>
    </row>
    <row r="17" spans="1:16" x14ac:dyDescent="0.3">
      <c r="A17" t="s">
        <v>5001</v>
      </c>
      <c r="C17" t="s">
        <v>4969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5002</v>
      </c>
    </row>
    <row r="18" spans="1:16" x14ac:dyDescent="0.3">
      <c r="A18" t="s">
        <v>5003</v>
      </c>
      <c r="C18" t="s">
        <v>4969</v>
      </c>
      <c r="D18" t="s">
        <v>408</v>
      </c>
      <c r="E18" t="s">
        <v>409</v>
      </c>
      <c r="G18" t="s">
        <v>20</v>
      </c>
      <c r="H18">
        <v>5000</v>
      </c>
      <c r="I18" s="1" t="s">
        <v>1275</v>
      </c>
      <c r="J18">
        <v>4973.125</v>
      </c>
      <c r="O18" t="s">
        <v>412</v>
      </c>
      <c r="P18" t="s">
        <v>5004</v>
      </c>
    </row>
    <row r="19" spans="1:16" x14ac:dyDescent="0.3">
      <c r="A19" t="s">
        <v>5005</v>
      </c>
      <c r="C19" t="s">
        <v>4969</v>
      </c>
      <c r="D19" t="s">
        <v>408</v>
      </c>
      <c r="E19" t="s">
        <v>409</v>
      </c>
      <c r="G19" t="s">
        <v>20</v>
      </c>
      <c r="H19">
        <v>50000</v>
      </c>
      <c r="I19">
        <v>107.5</v>
      </c>
      <c r="J19">
        <v>49892.5</v>
      </c>
      <c r="O19" t="s">
        <v>412</v>
      </c>
      <c r="P19" t="s">
        <v>5006</v>
      </c>
    </row>
    <row r="20" spans="1:16" x14ac:dyDescent="0.3">
      <c r="A20" t="s">
        <v>5007</v>
      </c>
      <c r="C20" t="s">
        <v>4969</v>
      </c>
      <c r="D20" t="s">
        <v>408</v>
      </c>
      <c r="E20" t="s">
        <v>409</v>
      </c>
      <c r="G20" t="s">
        <v>20</v>
      </c>
      <c r="H20">
        <v>91000</v>
      </c>
      <c r="I20">
        <v>107.5</v>
      </c>
      <c r="J20">
        <v>90892.5</v>
      </c>
      <c r="O20" t="s">
        <v>412</v>
      </c>
      <c r="P20" t="s">
        <v>5008</v>
      </c>
    </row>
    <row r="21" spans="1:16" x14ac:dyDescent="0.3">
      <c r="A21" t="s">
        <v>5009</v>
      </c>
      <c r="C21" t="s">
        <v>4969</v>
      </c>
      <c r="D21" t="s">
        <v>408</v>
      </c>
      <c r="E21" t="s">
        <v>409</v>
      </c>
      <c r="G21" t="s">
        <v>20</v>
      </c>
      <c r="H21">
        <v>90000</v>
      </c>
      <c r="I21">
        <v>107.5</v>
      </c>
      <c r="J21">
        <v>89892.5</v>
      </c>
      <c r="O21" t="s">
        <v>412</v>
      </c>
      <c r="P21" t="s">
        <v>5010</v>
      </c>
    </row>
    <row r="22" spans="1:16" x14ac:dyDescent="0.3">
      <c r="A22" t="s">
        <v>5011</v>
      </c>
      <c r="C22" t="s">
        <v>4969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5012</v>
      </c>
    </row>
    <row r="23" spans="1:16" x14ac:dyDescent="0.3">
      <c r="A23" t="s">
        <v>5013</v>
      </c>
      <c r="C23" t="s">
        <v>4969</v>
      </c>
      <c r="D23" t="s">
        <v>408</v>
      </c>
      <c r="E23" t="s">
        <v>409</v>
      </c>
      <c r="G23" t="s">
        <v>20</v>
      </c>
      <c r="H23">
        <v>11700</v>
      </c>
      <c r="I23">
        <v>62.887500000000003</v>
      </c>
      <c r="J23">
        <v>11637.112499999999</v>
      </c>
      <c r="O23" t="s">
        <v>21</v>
      </c>
      <c r="P23" t="s">
        <v>5014</v>
      </c>
    </row>
    <row r="24" spans="1:16" x14ac:dyDescent="0.3">
      <c r="A24" t="s">
        <v>5015</v>
      </c>
      <c r="C24" t="s">
        <v>4969</v>
      </c>
      <c r="D24" t="s">
        <v>404</v>
      </c>
      <c r="E24" t="s">
        <v>19</v>
      </c>
      <c r="F24" t="s">
        <v>1435</v>
      </c>
      <c r="G24" t="s">
        <v>20</v>
      </c>
      <c r="H24">
        <v>9966</v>
      </c>
      <c r="I24">
        <v>0</v>
      </c>
      <c r="J24">
        <v>0</v>
      </c>
      <c r="O24" t="s">
        <v>21</v>
      </c>
      <c r="P24" t="s">
        <v>5016</v>
      </c>
    </row>
    <row r="25" spans="1:16" x14ac:dyDescent="0.3">
      <c r="A25" t="s">
        <v>5017</v>
      </c>
      <c r="B25" s="1" t="s">
        <v>5018</v>
      </c>
      <c r="C25" t="s">
        <v>4969</v>
      </c>
      <c r="D25" t="s">
        <v>29</v>
      </c>
      <c r="E25" t="s">
        <v>1217</v>
      </c>
      <c r="F25" t="s">
        <v>5019</v>
      </c>
      <c r="G25" t="s">
        <v>20</v>
      </c>
      <c r="H25">
        <v>9999</v>
      </c>
      <c r="I25">
        <v>32.25</v>
      </c>
      <c r="J25">
        <v>9966.75</v>
      </c>
      <c r="O25" t="s">
        <v>21</v>
      </c>
      <c r="P25" t="s">
        <v>5020</v>
      </c>
    </row>
    <row r="26" spans="1:16" x14ac:dyDescent="0.3">
      <c r="A26" t="s">
        <v>5021</v>
      </c>
      <c r="C26" t="s">
        <v>4969</v>
      </c>
      <c r="D26" t="s">
        <v>1116</v>
      </c>
      <c r="E26" t="s">
        <v>1117</v>
      </c>
      <c r="F26" t="s">
        <v>1118</v>
      </c>
      <c r="G26" t="s">
        <v>20</v>
      </c>
      <c r="H26">
        <v>0</v>
      </c>
      <c r="I26">
        <v>0</v>
      </c>
      <c r="J26">
        <v>0</v>
      </c>
      <c r="O26" t="s">
        <v>21</v>
      </c>
      <c r="P26" t="s">
        <v>5022</v>
      </c>
    </row>
    <row r="27" spans="1:16" x14ac:dyDescent="0.3">
      <c r="A27" t="s">
        <v>5023</v>
      </c>
      <c r="B27" s="1" t="s">
        <v>5024</v>
      </c>
      <c r="C27" t="s">
        <v>4969</v>
      </c>
      <c r="D27" t="s">
        <v>1203</v>
      </c>
      <c r="E27" t="s">
        <v>19</v>
      </c>
      <c r="G27" t="s">
        <v>20</v>
      </c>
      <c r="H27">
        <v>5400</v>
      </c>
      <c r="I27">
        <v>25</v>
      </c>
      <c r="J27">
        <v>0</v>
      </c>
      <c r="O27" t="s">
        <v>21</v>
      </c>
      <c r="P27" t="s">
        <v>5025</v>
      </c>
    </row>
    <row r="28" spans="1:16" x14ac:dyDescent="0.3">
      <c r="A28" t="s">
        <v>5026</v>
      </c>
      <c r="C28" t="s">
        <v>4969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5027</v>
      </c>
    </row>
    <row r="29" spans="1:16" x14ac:dyDescent="0.3">
      <c r="A29" t="s">
        <v>5028</v>
      </c>
      <c r="C29" t="s">
        <v>4969</v>
      </c>
      <c r="D29" t="s">
        <v>408</v>
      </c>
      <c r="E29" t="s">
        <v>409</v>
      </c>
      <c r="G29" t="s">
        <v>20</v>
      </c>
      <c r="H29">
        <v>1000</v>
      </c>
      <c r="I29">
        <v>5.375</v>
      </c>
      <c r="J29">
        <v>994.625</v>
      </c>
      <c r="O29" t="s">
        <v>412</v>
      </c>
      <c r="P29" t="s">
        <v>5029</v>
      </c>
    </row>
    <row r="30" spans="1:16" x14ac:dyDescent="0.3">
      <c r="A30" t="s">
        <v>5030</v>
      </c>
      <c r="C30" t="s">
        <v>4969</v>
      </c>
      <c r="D30" t="s">
        <v>408</v>
      </c>
      <c r="E30" t="s">
        <v>409</v>
      </c>
      <c r="G30" t="s">
        <v>20</v>
      </c>
      <c r="H30">
        <v>5000</v>
      </c>
      <c r="I30" s="1" t="s">
        <v>1275</v>
      </c>
      <c r="J30">
        <v>4973.125</v>
      </c>
      <c r="O30" t="s">
        <v>412</v>
      </c>
      <c r="P30" t="s">
        <v>5031</v>
      </c>
    </row>
    <row r="31" spans="1:16" x14ac:dyDescent="0.3">
      <c r="A31" t="s">
        <v>5032</v>
      </c>
      <c r="C31" t="s">
        <v>4969</v>
      </c>
      <c r="D31" t="s">
        <v>408</v>
      </c>
      <c r="E31" t="s">
        <v>409</v>
      </c>
      <c r="G31" t="s">
        <v>20</v>
      </c>
      <c r="H31">
        <v>3000</v>
      </c>
      <c r="I31" s="1" t="s">
        <v>1393</v>
      </c>
      <c r="J31">
        <v>2983.875</v>
      </c>
      <c r="O31" t="s">
        <v>21</v>
      </c>
      <c r="P31" t="s">
        <v>5033</v>
      </c>
    </row>
    <row r="32" spans="1:16" x14ac:dyDescent="0.3">
      <c r="A32" t="s">
        <v>5034</v>
      </c>
      <c r="C32" t="s">
        <v>4969</v>
      </c>
      <c r="D32" t="s">
        <v>408</v>
      </c>
      <c r="E32" t="s">
        <v>409</v>
      </c>
      <c r="G32" t="s">
        <v>20</v>
      </c>
      <c r="H32">
        <v>5100</v>
      </c>
      <c r="I32">
        <v>27.412500000000001</v>
      </c>
      <c r="J32">
        <v>5072.5874999999996</v>
      </c>
      <c r="O32" t="s">
        <v>412</v>
      </c>
      <c r="P32" t="s">
        <v>5035</v>
      </c>
    </row>
    <row r="33" spans="1:16" x14ac:dyDescent="0.3">
      <c r="A33" t="s">
        <v>5036</v>
      </c>
      <c r="B33" s="1" t="s">
        <v>5037</v>
      </c>
      <c r="C33" t="s">
        <v>4969</v>
      </c>
      <c r="D33" t="s">
        <v>29</v>
      </c>
      <c r="E33" t="s">
        <v>1217</v>
      </c>
      <c r="F33" t="s">
        <v>5038</v>
      </c>
      <c r="G33" t="s">
        <v>20</v>
      </c>
      <c r="H33">
        <v>1000</v>
      </c>
      <c r="I33">
        <v>32.25</v>
      </c>
      <c r="J33">
        <v>967.75</v>
      </c>
      <c r="O33" t="s">
        <v>21</v>
      </c>
      <c r="P33" t="s">
        <v>5039</v>
      </c>
    </row>
    <row r="34" spans="1:16" x14ac:dyDescent="0.3">
      <c r="A34" t="s">
        <v>5040</v>
      </c>
      <c r="C34" t="s">
        <v>4969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21</v>
      </c>
      <c r="P34" t="s">
        <v>5041</v>
      </c>
    </row>
    <row r="35" spans="1:16" x14ac:dyDescent="0.3">
      <c r="A35" t="s">
        <v>5042</v>
      </c>
      <c r="C35" t="s">
        <v>4969</v>
      </c>
      <c r="D35" t="s">
        <v>408</v>
      </c>
      <c r="E35" t="s">
        <v>409</v>
      </c>
      <c r="G35" t="s">
        <v>20</v>
      </c>
      <c r="H35">
        <v>500</v>
      </c>
      <c r="I35">
        <v>2.6875</v>
      </c>
      <c r="J35">
        <v>497.3125</v>
      </c>
      <c r="O35" t="s">
        <v>21</v>
      </c>
      <c r="P35" t="s">
        <v>5043</v>
      </c>
    </row>
    <row r="36" spans="1:16" x14ac:dyDescent="0.3">
      <c r="A36" t="s">
        <v>5044</v>
      </c>
      <c r="C36" t="s">
        <v>4969</v>
      </c>
      <c r="D36" t="s">
        <v>1116</v>
      </c>
      <c r="E36" t="s">
        <v>1195</v>
      </c>
      <c r="F36" t="s">
        <v>1196</v>
      </c>
      <c r="G36" t="s">
        <v>20</v>
      </c>
      <c r="H36">
        <v>0</v>
      </c>
      <c r="I36">
        <v>0</v>
      </c>
      <c r="J36">
        <v>0</v>
      </c>
      <c r="O36" t="s">
        <v>21</v>
      </c>
      <c r="P36" t="s">
        <v>5045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04E-FD9D-4694-90E9-648335E5AE8B}">
  <dimension ref="A1:P17"/>
  <sheetViews>
    <sheetView workbookViewId="0">
      <selection activeCell="M12" sqref="M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5046</v>
      </c>
      <c r="C2" t="s">
        <v>5047</v>
      </c>
      <c r="D2" t="s">
        <v>404</v>
      </c>
      <c r="E2" t="s">
        <v>19</v>
      </c>
      <c r="F2" t="s">
        <v>1357</v>
      </c>
      <c r="G2" t="s">
        <v>20</v>
      </c>
      <c r="H2">
        <v>521</v>
      </c>
      <c r="I2">
        <v>0</v>
      </c>
      <c r="J2">
        <v>0</v>
      </c>
      <c r="O2" t="s">
        <v>21</v>
      </c>
      <c r="P2" t="s">
        <v>5048</v>
      </c>
    </row>
    <row r="3" spans="1:16" x14ac:dyDescent="0.3">
      <c r="A3" t="s">
        <v>5049</v>
      </c>
      <c r="C3" t="s">
        <v>5047</v>
      </c>
      <c r="D3" t="s">
        <v>408</v>
      </c>
      <c r="E3" t="s">
        <v>5050</v>
      </c>
      <c r="F3" t="s">
        <v>5051</v>
      </c>
      <c r="G3" t="s">
        <v>20</v>
      </c>
      <c r="H3">
        <v>530</v>
      </c>
      <c r="I3" s="1" t="s">
        <v>5052</v>
      </c>
      <c r="J3">
        <v>521.45375000000001</v>
      </c>
      <c r="L3" s="1" t="s">
        <v>5053</v>
      </c>
      <c r="M3">
        <v>0.59624999999999995</v>
      </c>
      <c r="N3">
        <v>0</v>
      </c>
      <c r="O3" t="s">
        <v>21</v>
      </c>
      <c r="P3" t="s">
        <v>5054</v>
      </c>
    </row>
    <row r="4" spans="1:16" x14ac:dyDescent="0.3">
      <c r="A4" t="s">
        <v>5055</v>
      </c>
      <c r="C4" t="s">
        <v>5047</v>
      </c>
      <c r="D4" t="s">
        <v>18</v>
      </c>
      <c r="E4" t="s">
        <v>19</v>
      </c>
      <c r="G4" t="s">
        <v>20</v>
      </c>
      <c r="H4">
        <v>921.5</v>
      </c>
      <c r="I4">
        <v>0</v>
      </c>
      <c r="J4">
        <v>921.5</v>
      </c>
      <c r="O4" t="s">
        <v>21</v>
      </c>
      <c r="P4" t="s">
        <v>5056</v>
      </c>
    </row>
    <row r="5" spans="1:16" x14ac:dyDescent="0.3">
      <c r="A5" t="s">
        <v>5057</v>
      </c>
      <c r="B5" s="1" t="s">
        <v>5058</v>
      </c>
      <c r="C5" t="s">
        <v>5047</v>
      </c>
      <c r="D5" t="s">
        <v>29</v>
      </c>
      <c r="E5" t="s">
        <v>5050</v>
      </c>
      <c r="F5" t="s">
        <v>5059</v>
      </c>
      <c r="G5" t="s">
        <v>20</v>
      </c>
      <c r="H5">
        <v>500</v>
      </c>
      <c r="I5">
        <v>8.0625</v>
      </c>
      <c r="J5">
        <v>491.9375</v>
      </c>
      <c r="L5">
        <v>3.75</v>
      </c>
      <c r="M5">
        <v>0.5625</v>
      </c>
      <c r="N5">
        <v>0</v>
      </c>
      <c r="O5" t="s">
        <v>21</v>
      </c>
      <c r="P5" t="s">
        <v>5060</v>
      </c>
    </row>
    <row r="6" spans="1:16" x14ac:dyDescent="0.3">
      <c r="A6" t="s">
        <v>5061</v>
      </c>
      <c r="B6" s="1" t="s">
        <v>5062</v>
      </c>
      <c r="C6" t="s">
        <v>5047</v>
      </c>
      <c r="D6" t="s">
        <v>1203</v>
      </c>
      <c r="E6" t="s">
        <v>19</v>
      </c>
      <c r="G6" t="s">
        <v>20</v>
      </c>
      <c r="H6">
        <v>900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5063</v>
      </c>
    </row>
    <row r="7" spans="1:16" x14ac:dyDescent="0.3">
      <c r="A7" t="s">
        <v>5064</v>
      </c>
      <c r="B7" s="1" t="s">
        <v>5065</v>
      </c>
      <c r="C7" t="s">
        <v>5047</v>
      </c>
      <c r="D7" t="s">
        <v>29</v>
      </c>
      <c r="E7" t="s">
        <v>19</v>
      </c>
      <c r="F7" t="s">
        <v>5066</v>
      </c>
      <c r="G7" t="s">
        <v>20</v>
      </c>
      <c r="H7">
        <v>500</v>
      </c>
      <c r="I7">
        <v>32.25</v>
      </c>
      <c r="J7">
        <v>467.75</v>
      </c>
      <c r="L7">
        <v>12</v>
      </c>
      <c r="M7">
        <v>2.25</v>
      </c>
      <c r="N7">
        <v>0</v>
      </c>
      <c r="O7" t="s">
        <v>21</v>
      </c>
      <c r="P7" t="s">
        <v>5067</v>
      </c>
    </row>
    <row r="8" spans="1:16" x14ac:dyDescent="0.3">
      <c r="A8" t="s">
        <v>5068</v>
      </c>
      <c r="B8" s="1" t="s">
        <v>5069</v>
      </c>
      <c r="C8" t="s">
        <v>5047</v>
      </c>
      <c r="D8" t="s">
        <v>29</v>
      </c>
      <c r="E8" t="s">
        <v>19</v>
      </c>
      <c r="F8" t="s">
        <v>5070</v>
      </c>
      <c r="G8" t="s">
        <v>20</v>
      </c>
      <c r="H8">
        <v>500</v>
      </c>
      <c r="I8">
        <v>32.25</v>
      </c>
      <c r="J8">
        <v>467.75</v>
      </c>
      <c r="L8">
        <v>12</v>
      </c>
      <c r="M8">
        <v>2.25</v>
      </c>
      <c r="N8">
        <v>0</v>
      </c>
      <c r="O8" t="s">
        <v>21</v>
      </c>
      <c r="P8" t="s">
        <v>5071</v>
      </c>
    </row>
    <row r="9" spans="1:16" x14ac:dyDescent="0.3">
      <c r="A9" t="s">
        <v>5072</v>
      </c>
      <c r="C9" t="s">
        <v>5047</v>
      </c>
      <c r="D9" t="s">
        <v>18</v>
      </c>
      <c r="E9" t="s">
        <v>19</v>
      </c>
      <c r="F9" t="s">
        <v>5073</v>
      </c>
      <c r="G9" t="s">
        <v>20</v>
      </c>
      <c r="H9">
        <v>500</v>
      </c>
      <c r="I9">
        <v>0</v>
      </c>
      <c r="J9">
        <v>500</v>
      </c>
      <c r="O9" t="s">
        <v>21</v>
      </c>
      <c r="P9" t="s">
        <v>5074</v>
      </c>
    </row>
    <row r="10" spans="1:16" x14ac:dyDescent="0.3">
      <c r="A10" t="s">
        <v>5075</v>
      </c>
      <c r="C10" t="s">
        <v>5047</v>
      </c>
      <c r="D10" t="s">
        <v>18</v>
      </c>
      <c r="E10" t="s">
        <v>19</v>
      </c>
      <c r="F10" t="s">
        <v>5073</v>
      </c>
      <c r="G10" t="s">
        <v>20</v>
      </c>
      <c r="H10">
        <v>500</v>
      </c>
      <c r="I10">
        <v>0</v>
      </c>
      <c r="J10">
        <v>500</v>
      </c>
      <c r="O10" t="s">
        <v>21</v>
      </c>
      <c r="P10" t="s">
        <v>5076</v>
      </c>
    </row>
    <row r="11" spans="1:16" x14ac:dyDescent="0.3">
      <c r="A11" t="s">
        <v>5077</v>
      </c>
      <c r="B11" s="1" t="s">
        <v>5078</v>
      </c>
      <c r="C11" t="s">
        <v>5047</v>
      </c>
      <c r="D11" t="s">
        <v>29</v>
      </c>
      <c r="E11" t="s">
        <v>19</v>
      </c>
      <c r="F11" t="s">
        <v>5079</v>
      </c>
      <c r="G11" t="s">
        <v>20</v>
      </c>
      <c r="H11">
        <v>500</v>
      </c>
      <c r="I11">
        <v>32.25</v>
      </c>
      <c r="J11">
        <v>467.75</v>
      </c>
      <c r="L11">
        <v>12</v>
      </c>
      <c r="M11">
        <v>2.25</v>
      </c>
      <c r="N11">
        <v>0</v>
      </c>
      <c r="O11" t="s">
        <v>21</v>
      </c>
      <c r="P11" t="s">
        <v>5080</v>
      </c>
    </row>
    <row r="12" spans="1:16" x14ac:dyDescent="0.3">
      <c r="A12" t="s">
        <v>5081</v>
      </c>
      <c r="B12" s="1" t="s">
        <v>5082</v>
      </c>
      <c r="C12" t="s">
        <v>5047</v>
      </c>
      <c r="D12" t="s">
        <v>1203</v>
      </c>
      <c r="E12" t="s">
        <v>19</v>
      </c>
      <c r="G12" t="s">
        <v>20</v>
      </c>
      <c r="H12">
        <v>500</v>
      </c>
      <c r="I12">
        <v>25</v>
      </c>
      <c r="J12">
        <v>0</v>
      </c>
      <c r="O12" t="s">
        <v>21</v>
      </c>
      <c r="P12" t="s">
        <v>5083</v>
      </c>
    </row>
    <row r="13" spans="1:16" x14ac:dyDescent="0.3">
      <c r="A13" t="s">
        <v>5084</v>
      </c>
      <c r="C13" t="s">
        <v>5047</v>
      </c>
      <c r="D13" t="s">
        <v>404</v>
      </c>
      <c r="E13" t="s">
        <v>19</v>
      </c>
      <c r="F13" t="s">
        <v>1027</v>
      </c>
      <c r="G13" t="s">
        <v>20</v>
      </c>
      <c r="H13">
        <v>491</v>
      </c>
      <c r="I13">
        <v>0</v>
      </c>
      <c r="J13">
        <v>0</v>
      </c>
      <c r="O13" t="s">
        <v>21</v>
      </c>
      <c r="P13" t="s">
        <v>5085</v>
      </c>
    </row>
    <row r="14" spans="1:16" x14ac:dyDescent="0.3">
      <c r="A14" t="s">
        <v>5086</v>
      </c>
      <c r="C14" t="s">
        <v>5047</v>
      </c>
      <c r="D14" t="s">
        <v>408</v>
      </c>
      <c r="E14" t="s">
        <v>3602</v>
      </c>
      <c r="F14" t="s">
        <v>5087</v>
      </c>
      <c r="G14" t="s">
        <v>20</v>
      </c>
      <c r="H14">
        <v>500</v>
      </c>
      <c r="I14">
        <v>8.0625</v>
      </c>
      <c r="J14">
        <v>491.9375</v>
      </c>
      <c r="L14">
        <v>3.75</v>
      </c>
      <c r="M14">
        <v>0.5625</v>
      </c>
      <c r="N14">
        <v>0</v>
      </c>
      <c r="O14" t="s">
        <v>21</v>
      </c>
      <c r="P14" t="s">
        <v>5088</v>
      </c>
    </row>
    <row r="15" spans="1:16" x14ac:dyDescent="0.3">
      <c r="A15" t="s">
        <v>5089</v>
      </c>
      <c r="C15" t="s">
        <v>5047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5090</v>
      </c>
    </row>
    <row r="16" spans="1:16" x14ac:dyDescent="0.3">
      <c r="A16" t="s">
        <v>5091</v>
      </c>
      <c r="C16" t="s">
        <v>5047</v>
      </c>
      <c r="D16" t="s">
        <v>408</v>
      </c>
      <c r="E16" t="s">
        <v>3602</v>
      </c>
      <c r="F16" t="s">
        <v>5092</v>
      </c>
      <c r="G16" t="s">
        <v>20</v>
      </c>
      <c r="H16">
        <v>600</v>
      </c>
      <c r="I16">
        <v>9.6750000000000007</v>
      </c>
      <c r="J16">
        <v>590.32500000000005</v>
      </c>
      <c r="L16">
        <v>4.5</v>
      </c>
      <c r="M16" s="1" t="s">
        <v>5093</v>
      </c>
      <c r="N16">
        <v>0</v>
      </c>
      <c r="O16" t="s">
        <v>21</v>
      </c>
      <c r="P16" t="s">
        <v>5094</v>
      </c>
    </row>
    <row r="17" spans="1:16" x14ac:dyDescent="0.3">
      <c r="A17" t="s">
        <v>5095</v>
      </c>
      <c r="B17" s="1" t="s">
        <v>5096</v>
      </c>
      <c r="C17" t="s">
        <v>5047</v>
      </c>
      <c r="D17" t="s">
        <v>29</v>
      </c>
      <c r="E17" t="s">
        <v>19</v>
      </c>
      <c r="F17" t="s">
        <v>5097</v>
      </c>
      <c r="G17" t="s">
        <v>20</v>
      </c>
      <c r="H17">
        <v>100</v>
      </c>
      <c r="I17">
        <v>32.25</v>
      </c>
      <c r="J17">
        <v>67.75</v>
      </c>
      <c r="L17">
        <v>12</v>
      </c>
      <c r="M17">
        <v>2.25</v>
      </c>
      <c r="N17">
        <v>0</v>
      </c>
      <c r="O17" t="s">
        <v>21</v>
      </c>
      <c r="P17" t="s">
        <v>5098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57C0-88FE-46B6-BFA3-F1A12D6B5715}">
  <dimension ref="A1:P107"/>
  <sheetViews>
    <sheetView workbookViewId="0">
      <selection activeCell="N8" sqref="N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5099</v>
      </c>
      <c r="B2" s="1" t="s">
        <v>5100</v>
      </c>
      <c r="C2" t="s">
        <v>5101</v>
      </c>
      <c r="D2" t="s">
        <v>1203</v>
      </c>
      <c r="E2" t="s">
        <v>19</v>
      </c>
      <c r="G2" t="s">
        <v>20</v>
      </c>
      <c r="H2">
        <v>1000</v>
      </c>
      <c r="I2">
        <v>24.725000000000001</v>
      </c>
      <c r="J2">
        <v>0</v>
      </c>
      <c r="L2">
        <v>5</v>
      </c>
      <c r="M2" s="1" t="s">
        <v>5102</v>
      </c>
      <c r="N2">
        <v>0</v>
      </c>
      <c r="O2" t="s">
        <v>21</v>
      </c>
      <c r="P2" t="s">
        <v>5103</v>
      </c>
    </row>
    <row r="3" spans="1:16" x14ac:dyDescent="0.3">
      <c r="A3" t="s">
        <v>5104</v>
      </c>
      <c r="C3" t="s">
        <v>5101</v>
      </c>
      <c r="D3" t="s">
        <v>18</v>
      </c>
      <c r="E3" t="s">
        <v>19</v>
      </c>
      <c r="G3" t="s">
        <v>20</v>
      </c>
      <c r="H3">
        <v>1508.6</v>
      </c>
      <c r="I3">
        <v>0</v>
      </c>
      <c r="J3">
        <v>1508.6</v>
      </c>
      <c r="O3" t="s">
        <v>21</v>
      </c>
      <c r="P3" t="s">
        <v>5105</v>
      </c>
    </row>
    <row r="4" spans="1:16" x14ac:dyDescent="0.3">
      <c r="A4" t="s">
        <v>5106</v>
      </c>
      <c r="B4" s="1" t="s">
        <v>5107</v>
      </c>
      <c r="C4" t="s">
        <v>5101</v>
      </c>
      <c r="D4" t="s">
        <v>29</v>
      </c>
      <c r="E4" t="s">
        <v>19</v>
      </c>
      <c r="F4" t="s">
        <v>5108</v>
      </c>
      <c r="G4" t="s">
        <v>20</v>
      </c>
      <c r="H4">
        <v>2000</v>
      </c>
      <c r="I4">
        <v>24.725000000000001</v>
      </c>
      <c r="J4">
        <v>1975.2750000000001</v>
      </c>
      <c r="L4">
        <v>5</v>
      </c>
      <c r="M4" s="1" t="s">
        <v>5102</v>
      </c>
      <c r="N4">
        <v>0</v>
      </c>
      <c r="O4" t="s">
        <v>21</v>
      </c>
      <c r="P4" t="s">
        <v>5109</v>
      </c>
    </row>
    <row r="5" spans="1:16" x14ac:dyDescent="0.3">
      <c r="A5" t="s">
        <v>5110</v>
      </c>
      <c r="C5" t="s">
        <v>5101</v>
      </c>
      <c r="D5" t="s">
        <v>18</v>
      </c>
      <c r="E5" t="s">
        <v>19</v>
      </c>
      <c r="G5" t="s">
        <v>20</v>
      </c>
      <c r="H5">
        <v>1508.6</v>
      </c>
      <c r="I5">
        <v>0</v>
      </c>
      <c r="J5">
        <v>1508.6</v>
      </c>
      <c r="O5" t="s">
        <v>21</v>
      </c>
      <c r="P5" t="s">
        <v>5111</v>
      </c>
    </row>
    <row r="6" spans="1:16" x14ac:dyDescent="0.3">
      <c r="A6" t="s">
        <v>5112</v>
      </c>
      <c r="C6" t="s">
        <v>5101</v>
      </c>
      <c r="D6" t="s">
        <v>18</v>
      </c>
      <c r="E6" t="s">
        <v>19</v>
      </c>
      <c r="G6" t="s">
        <v>20</v>
      </c>
      <c r="H6">
        <v>1508.6</v>
      </c>
      <c r="I6">
        <v>0</v>
      </c>
      <c r="J6">
        <v>1508.6</v>
      </c>
      <c r="O6" t="s">
        <v>21</v>
      </c>
      <c r="P6" t="s">
        <v>5113</v>
      </c>
    </row>
    <row r="7" spans="1:16" x14ac:dyDescent="0.3">
      <c r="A7" t="s">
        <v>5114</v>
      </c>
      <c r="C7" t="s">
        <v>5101</v>
      </c>
      <c r="D7" t="s">
        <v>18</v>
      </c>
      <c r="E7" t="s">
        <v>19</v>
      </c>
      <c r="F7" t="s">
        <v>5115</v>
      </c>
      <c r="G7" t="s">
        <v>20</v>
      </c>
      <c r="H7">
        <v>1000</v>
      </c>
      <c r="I7">
        <v>0</v>
      </c>
      <c r="J7">
        <v>1000</v>
      </c>
      <c r="O7" t="s">
        <v>21</v>
      </c>
      <c r="P7" t="s">
        <v>5116</v>
      </c>
    </row>
    <row r="8" spans="1:16" x14ac:dyDescent="0.3">
      <c r="A8" t="s">
        <v>5117</v>
      </c>
      <c r="C8" t="s">
        <v>5101</v>
      </c>
      <c r="D8" t="s">
        <v>18</v>
      </c>
      <c r="E8" t="s">
        <v>19</v>
      </c>
      <c r="F8" t="s">
        <v>5115</v>
      </c>
      <c r="G8" t="s">
        <v>20</v>
      </c>
      <c r="H8">
        <v>1000</v>
      </c>
      <c r="I8">
        <v>0</v>
      </c>
      <c r="J8">
        <v>1000</v>
      </c>
      <c r="O8" t="s">
        <v>21</v>
      </c>
      <c r="P8" t="s">
        <v>5118</v>
      </c>
    </row>
    <row r="9" spans="1:16" x14ac:dyDescent="0.3">
      <c r="A9" t="s">
        <v>5119</v>
      </c>
      <c r="C9" t="s">
        <v>5101</v>
      </c>
      <c r="D9" t="s">
        <v>18</v>
      </c>
      <c r="E9" t="s">
        <v>19</v>
      </c>
      <c r="G9" t="s">
        <v>20</v>
      </c>
      <c r="H9">
        <v>708.6</v>
      </c>
      <c r="I9">
        <v>0</v>
      </c>
      <c r="J9">
        <v>708.6</v>
      </c>
      <c r="O9" t="s">
        <v>21</v>
      </c>
      <c r="P9" t="s">
        <v>5120</v>
      </c>
    </row>
    <row r="10" spans="1:16" x14ac:dyDescent="0.3">
      <c r="A10" t="s">
        <v>5121</v>
      </c>
      <c r="C10" t="s">
        <v>5101</v>
      </c>
      <c r="D10" t="s">
        <v>18</v>
      </c>
      <c r="E10" t="s">
        <v>19</v>
      </c>
      <c r="G10" t="s">
        <v>20</v>
      </c>
      <c r="H10">
        <v>708.6</v>
      </c>
      <c r="I10">
        <v>0</v>
      </c>
      <c r="J10">
        <v>708.6</v>
      </c>
      <c r="O10" t="s">
        <v>21</v>
      </c>
      <c r="P10" t="s">
        <v>5122</v>
      </c>
    </row>
    <row r="11" spans="1:16" x14ac:dyDescent="0.3">
      <c r="A11" t="s">
        <v>5123</v>
      </c>
      <c r="C11" t="s">
        <v>5101</v>
      </c>
      <c r="D11" t="s">
        <v>18</v>
      </c>
      <c r="E11" t="s">
        <v>19</v>
      </c>
      <c r="G11" t="s">
        <v>20</v>
      </c>
      <c r="H11">
        <v>1008.6</v>
      </c>
      <c r="I11">
        <v>0</v>
      </c>
      <c r="J11">
        <v>1008.6</v>
      </c>
      <c r="O11" t="s">
        <v>21</v>
      </c>
      <c r="P11" t="s">
        <v>5124</v>
      </c>
    </row>
    <row r="12" spans="1:16" x14ac:dyDescent="0.3">
      <c r="A12" t="s">
        <v>5125</v>
      </c>
      <c r="C12" t="s">
        <v>5101</v>
      </c>
      <c r="D12" t="s">
        <v>1203</v>
      </c>
      <c r="E12" t="s">
        <v>19</v>
      </c>
      <c r="G12" t="s">
        <v>20</v>
      </c>
      <c r="H12">
        <v>13000</v>
      </c>
      <c r="I12">
        <v>24.725000000000001</v>
      </c>
      <c r="J12">
        <v>0</v>
      </c>
      <c r="L12">
        <v>5</v>
      </c>
      <c r="M12" s="1" t="s">
        <v>5102</v>
      </c>
      <c r="N12">
        <v>0</v>
      </c>
      <c r="O12" t="s">
        <v>412</v>
      </c>
      <c r="P12" t="s">
        <v>5126</v>
      </c>
    </row>
    <row r="13" spans="1:16" x14ac:dyDescent="0.3">
      <c r="A13" t="s">
        <v>5127</v>
      </c>
      <c r="C13" t="s">
        <v>5101</v>
      </c>
      <c r="D13" t="s">
        <v>404</v>
      </c>
      <c r="E13" t="s">
        <v>19</v>
      </c>
      <c r="F13" t="s">
        <v>785</v>
      </c>
      <c r="G13" t="s">
        <v>20</v>
      </c>
      <c r="H13">
        <v>991</v>
      </c>
      <c r="I13">
        <v>0</v>
      </c>
      <c r="J13">
        <v>0</v>
      </c>
      <c r="O13" t="s">
        <v>21</v>
      </c>
      <c r="P13" t="s">
        <v>5128</v>
      </c>
    </row>
    <row r="14" spans="1:16" x14ac:dyDescent="0.3">
      <c r="A14" t="s">
        <v>5129</v>
      </c>
      <c r="B14" s="1" t="s">
        <v>5130</v>
      </c>
      <c r="C14" t="s">
        <v>5101</v>
      </c>
      <c r="D14" t="s">
        <v>29</v>
      </c>
      <c r="E14" t="s">
        <v>5050</v>
      </c>
      <c r="F14" t="s">
        <v>5131</v>
      </c>
      <c r="G14" t="s">
        <v>20</v>
      </c>
      <c r="H14">
        <v>500</v>
      </c>
      <c r="I14">
        <v>5.375</v>
      </c>
      <c r="J14">
        <v>494.625</v>
      </c>
      <c r="L14">
        <v>1.25</v>
      </c>
      <c r="M14">
        <v>0.375</v>
      </c>
      <c r="N14">
        <v>0</v>
      </c>
      <c r="O14" t="s">
        <v>21</v>
      </c>
      <c r="P14" t="s">
        <v>5132</v>
      </c>
    </row>
    <row r="15" spans="1:16" x14ac:dyDescent="0.3">
      <c r="A15" t="s">
        <v>5133</v>
      </c>
      <c r="C15" t="s">
        <v>5101</v>
      </c>
      <c r="D15" t="s">
        <v>408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5134</v>
      </c>
    </row>
    <row r="16" spans="1:16" x14ac:dyDescent="0.3">
      <c r="A16" t="s">
        <v>5135</v>
      </c>
      <c r="C16" t="s">
        <v>5101</v>
      </c>
      <c r="D16" t="s">
        <v>404</v>
      </c>
      <c r="E16" t="s">
        <v>19</v>
      </c>
      <c r="F16" t="s">
        <v>833</v>
      </c>
      <c r="G16" t="s">
        <v>20</v>
      </c>
      <c r="H16">
        <v>497</v>
      </c>
      <c r="I16">
        <v>0</v>
      </c>
      <c r="J16">
        <v>0</v>
      </c>
      <c r="O16" t="s">
        <v>21</v>
      </c>
      <c r="P16" t="s">
        <v>5136</v>
      </c>
    </row>
    <row r="17" spans="1:16" x14ac:dyDescent="0.3">
      <c r="A17" t="s">
        <v>5137</v>
      </c>
      <c r="C17" t="s">
        <v>5101</v>
      </c>
      <c r="D17" t="s">
        <v>29</v>
      </c>
      <c r="E17" t="s">
        <v>409</v>
      </c>
      <c r="G17" t="s">
        <v>20</v>
      </c>
      <c r="H17">
        <v>500</v>
      </c>
      <c r="I17">
        <v>2.6875</v>
      </c>
      <c r="J17">
        <v>497.3125</v>
      </c>
      <c r="O17" t="s">
        <v>21</v>
      </c>
      <c r="P17" t="s">
        <v>5138</v>
      </c>
    </row>
    <row r="18" spans="1:16" x14ac:dyDescent="0.3">
      <c r="A18" t="s">
        <v>5139</v>
      </c>
      <c r="C18" t="s">
        <v>5101</v>
      </c>
      <c r="D18" t="s">
        <v>408</v>
      </c>
      <c r="E18" t="s">
        <v>409</v>
      </c>
      <c r="G18" t="s">
        <v>20</v>
      </c>
      <c r="H18">
        <v>500</v>
      </c>
      <c r="I18">
        <v>2.6875</v>
      </c>
      <c r="J18">
        <v>497.3125</v>
      </c>
      <c r="O18" t="s">
        <v>412</v>
      </c>
      <c r="P18" t="s">
        <v>5140</v>
      </c>
    </row>
    <row r="19" spans="1:16" x14ac:dyDescent="0.3">
      <c r="A19" t="s">
        <v>5141</v>
      </c>
      <c r="C19" t="s">
        <v>5101</v>
      </c>
      <c r="D19" t="s">
        <v>404</v>
      </c>
      <c r="E19" t="s">
        <v>19</v>
      </c>
      <c r="F19" t="s">
        <v>845</v>
      </c>
      <c r="G19" t="s">
        <v>20</v>
      </c>
      <c r="H19">
        <v>1964</v>
      </c>
      <c r="I19">
        <v>0</v>
      </c>
      <c r="J19">
        <v>0</v>
      </c>
      <c r="O19" t="s">
        <v>21</v>
      </c>
      <c r="P19" t="s">
        <v>5142</v>
      </c>
    </row>
    <row r="20" spans="1:16" x14ac:dyDescent="0.3">
      <c r="A20" t="s">
        <v>5143</v>
      </c>
      <c r="B20" s="1" t="s">
        <v>5144</v>
      </c>
      <c r="C20" t="s">
        <v>5101</v>
      </c>
      <c r="D20" t="s">
        <v>29</v>
      </c>
      <c r="E20" t="s">
        <v>5050</v>
      </c>
      <c r="F20" t="s">
        <v>5145</v>
      </c>
      <c r="G20" t="s">
        <v>20</v>
      </c>
      <c r="H20">
        <v>500</v>
      </c>
      <c r="I20">
        <v>5.375</v>
      </c>
      <c r="J20">
        <v>494.625</v>
      </c>
      <c r="L20">
        <v>1.25</v>
      </c>
      <c r="M20">
        <v>0.375</v>
      </c>
      <c r="N20">
        <v>0</v>
      </c>
      <c r="O20" t="s">
        <v>21</v>
      </c>
      <c r="P20" t="s">
        <v>5146</v>
      </c>
    </row>
    <row r="21" spans="1:16" x14ac:dyDescent="0.3">
      <c r="A21" t="s">
        <v>5147</v>
      </c>
      <c r="B21" s="1" t="s">
        <v>5148</v>
      </c>
      <c r="C21" t="s">
        <v>5101</v>
      </c>
      <c r="D21" t="s">
        <v>29</v>
      </c>
      <c r="E21" t="s">
        <v>1217</v>
      </c>
      <c r="F21" t="s">
        <v>5149</v>
      </c>
      <c r="G21" t="s">
        <v>20</v>
      </c>
      <c r="H21">
        <v>500</v>
      </c>
      <c r="I21">
        <v>24.725000000000001</v>
      </c>
      <c r="J21">
        <v>475.27499999999998</v>
      </c>
      <c r="O21" t="s">
        <v>21</v>
      </c>
      <c r="P21" t="s">
        <v>5150</v>
      </c>
    </row>
    <row r="22" spans="1:16" x14ac:dyDescent="0.3">
      <c r="A22" t="s">
        <v>5151</v>
      </c>
      <c r="C22" t="s">
        <v>5101</v>
      </c>
      <c r="D22" t="s">
        <v>29</v>
      </c>
      <c r="E22" t="s">
        <v>409</v>
      </c>
      <c r="G22" t="s">
        <v>20</v>
      </c>
      <c r="H22">
        <v>1000</v>
      </c>
      <c r="I22">
        <v>5.375</v>
      </c>
      <c r="J22">
        <v>994.625</v>
      </c>
      <c r="O22" t="s">
        <v>21</v>
      </c>
      <c r="P22" t="s">
        <v>5152</v>
      </c>
    </row>
    <row r="23" spans="1:16" x14ac:dyDescent="0.3">
      <c r="A23" t="s">
        <v>5153</v>
      </c>
      <c r="C23" t="s">
        <v>5101</v>
      </c>
      <c r="D23" t="s">
        <v>404</v>
      </c>
      <c r="E23" t="s">
        <v>19</v>
      </c>
      <c r="F23" t="s">
        <v>875</v>
      </c>
      <c r="G23" t="s">
        <v>20</v>
      </c>
      <c r="H23">
        <v>3978</v>
      </c>
      <c r="I23">
        <v>0</v>
      </c>
      <c r="J23">
        <v>0</v>
      </c>
      <c r="O23" t="s">
        <v>21</v>
      </c>
      <c r="P23" t="s">
        <v>5154</v>
      </c>
    </row>
    <row r="24" spans="1:16" x14ac:dyDescent="0.3">
      <c r="A24" t="s">
        <v>5155</v>
      </c>
      <c r="C24" t="s">
        <v>5101</v>
      </c>
      <c r="D24" t="s">
        <v>29</v>
      </c>
      <c r="E24" t="s">
        <v>409</v>
      </c>
      <c r="G24" t="s">
        <v>20</v>
      </c>
      <c r="H24">
        <v>500</v>
      </c>
      <c r="I24">
        <v>2.6875</v>
      </c>
      <c r="J24">
        <v>497.3125</v>
      </c>
      <c r="O24" t="s">
        <v>21</v>
      </c>
      <c r="P24" t="s">
        <v>5156</v>
      </c>
    </row>
    <row r="25" spans="1:16" x14ac:dyDescent="0.3">
      <c r="A25" t="s">
        <v>5157</v>
      </c>
      <c r="C25" t="s">
        <v>5101</v>
      </c>
      <c r="D25" t="s">
        <v>29</v>
      </c>
      <c r="E25" t="s">
        <v>409</v>
      </c>
      <c r="G25" t="s">
        <v>20</v>
      </c>
      <c r="H25">
        <v>500</v>
      </c>
      <c r="I25">
        <v>2.6875</v>
      </c>
      <c r="J25">
        <v>497.3125</v>
      </c>
      <c r="O25" t="s">
        <v>21</v>
      </c>
      <c r="P25" t="s">
        <v>5158</v>
      </c>
    </row>
    <row r="26" spans="1:16" x14ac:dyDescent="0.3">
      <c r="A26" t="s">
        <v>5159</v>
      </c>
      <c r="C26" t="s">
        <v>5101</v>
      </c>
      <c r="D26" t="s">
        <v>29</v>
      </c>
      <c r="E26" t="s">
        <v>409</v>
      </c>
      <c r="G26" t="s">
        <v>20</v>
      </c>
      <c r="H26">
        <v>500</v>
      </c>
      <c r="I26">
        <v>2.6875</v>
      </c>
      <c r="J26">
        <v>497.3125</v>
      </c>
      <c r="O26" t="s">
        <v>21</v>
      </c>
      <c r="P26" t="s">
        <v>5160</v>
      </c>
    </row>
    <row r="27" spans="1:16" x14ac:dyDescent="0.3">
      <c r="A27" t="s">
        <v>5161</v>
      </c>
      <c r="C27" t="s">
        <v>5101</v>
      </c>
      <c r="D27" t="s">
        <v>29</v>
      </c>
      <c r="E27" t="s">
        <v>409</v>
      </c>
      <c r="G27" t="s">
        <v>20</v>
      </c>
      <c r="H27">
        <v>500</v>
      </c>
      <c r="I27">
        <v>2.6875</v>
      </c>
      <c r="J27">
        <v>497.3125</v>
      </c>
      <c r="O27" t="s">
        <v>21</v>
      </c>
      <c r="P27" t="s">
        <v>5162</v>
      </c>
    </row>
    <row r="28" spans="1:16" x14ac:dyDescent="0.3">
      <c r="A28" t="s">
        <v>5163</v>
      </c>
      <c r="C28" t="s">
        <v>5101</v>
      </c>
      <c r="D28" t="s">
        <v>29</v>
      </c>
      <c r="E28" t="s">
        <v>409</v>
      </c>
      <c r="G28" t="s">
        <v>20</v>
      </c>
      <c r="H28">
        <v>500</v>
      </c>
      <c r="I28">
        <v>2.6875</v>
      </c>
      <c r="J28">
        <v>497.3125</v>
      </c>
      <c r="O28" t="s">
        <v>21</v>
      </c>
      <c r="P28" t="s">
        <v>5164</v>
      </c>
    </row>
    <row r="29" spans="1:16" x14ac:dyDescent="0.3">
      <c r="A29" t="s">
        <v>5165</v>
      </c>
      <c r="C29" t="s">
        <v>5101</v>
      </c>
      <c r="D29" t="s">
        <v>29</v>
      </c>
      <c r="E29" t="s">
        <v>409</v>
      </c>
      <c r="G29" t="s">
        <v>20</v>
      </c>
      <c r="H29">
        <v>500</v>
      </c>
      <c r="I29">
        <v>2.6875</v>
      </c>
      <c r="J29">
        <v>497.3125</v>
      </c>
      <c r="O29" t="s">
        <v>21</v>
      </c>
      <c r="P29" t="s">
        <v>5166</v>
      </c>
    </row>
    <row r="30" spans="1:16" x14ac:dyDescent="0.3">
      <c r="A30" t="s">
        <v>5167</v>
      </c>
      <c r="C30" t="s">
        <v>5101</v>
      </c>
      <c r="D30" t="s">
        <v>29</v>
      </c>
      <c r="E30" t="s">
        <v>409</v>
      </c>
      <c r="G30" t="s">
        <v>20</v>
      </c>
      <c r="H30">
        <v>500</v>
      </c>
      <c r="I30">
        <v>2.6875</v>
      </c>
      <c r="J30">
        <v>497.3125</v>
      </c>
      <c r="O30" t="s">
        <v>21</v>
      </c>
      <c r="P30" t="s">
        <v>5168</v>
      </c>
    </row>
    <row r="31" spans="1:16" x14ac:dyDescent="0.3">
      <c r="A31" t="s">
        <v>5169</v>
      </c>
      <c r="C31" t="s">
        <v>5101</v>
      </c>
      <c r="D31" t="s">
        <v>29</v>
      </c>
      <c r="E31" t="s">
        <v>409</v>
      </c>
      <c r="G31" t="s">
        <v>20</v>
      </c>
      <c r="H31">
        <v>500</v>
      </c>
      <c r="I31">
        <v>2.6875</v>
      </c>
      <c r="J31">
        <v>497.3125</v>
      </c>
      <c r="O31" t="s">
        <v>21</v>
      </c>
      <c r="P31" t="s">
        <v>5170</v>
      </c>
    </row>
    <row r="32" spans="1:16" x14ac:dyDescent="0.3">
      <c r="A32" t="s">
        <v>5171</v>
      </c>
      <c r="C32" t="s">
        <v>5101</v>
      </c>
      <c r="D32" t="s">
        <v>1116</v>
      </c>
      <c r="E32" t="s">
        <v>1117</v>
      </c>
      <c r="F32" t="s">
        <v>1118</v>
      </c>
      <c r="G32" t="s">
        <v>20</v>
      </c>
      <c r="H32">
        <v>0</v>
      </c>
      <c r="I32">
        <v>0</v>
      </c>
      <c r="J32">
        <v>0</v>
      </c>
      <c r="O32" t="s">
        <v>21</v>
      </c>
      <c r="P32" t="s">
        <v>5172</v>
      </c>
    </row>
    <row r="33" spans="1:16" x14ac:dyDescent="0.3">
      <c r="A33" t="s">
        <v>5173</v>
      </c>
      <c r="C33" t="s">
        <v>5101</v>
      </c>
      <c r="D33" t="s">
        <v>404</v>
      </c>
      <c r="E33" t="s">
        <v>19</v>
      </c>
      <c r="F33" t="s">
        <v>1168</v>
      </c>
      <c r="G33" t="s">
        <v>20</v>
      </c>
      <c r="H33">
        <v>497</v>
      </c>
      <c r="I33">
        <v>0</v>
      </c>
      <c r="J33">
        <v>0</v>
      </c>
      <c r="O33" t="s">
        <v>21</v>
      </c>
      <c r="P33" t="s">
        <v>5174</v>
      </c>
    </row>
    <row r="34" spans="1:16" x14ac:dyDescent="0.3">
      <c r="A34" t="s">
        <v>5175</v>
      </c>
      <c r="C34" t="s">
        <v>5101</v>
      </c>
      <c r="D34" t="s">
        <v>408</v>
      </c>
      <c r="E34" t="s">
        <v>409</v>
      </c>
      <c r="G34" t="s">
        <v>20</v>
      </c>
      <c r="H34">
        <v>500</v>
      </c>
      <c r="I34">
        <v>2.6875</v>
      </c>
      <c r="J34">
        <v>497.3125</v>
      </c>
      <c r="O34" t="s">
        <v>21</v>
      </c>
      <c r="P34" t="s">
        <v>5176</v>
      </c>
    </row>
    <row r="35" spans="1:16" x14ac:dyDescent="0.3">
      <c r="A35" t="s">
        <v>5177</v>
      </c>
      <c r="C35" t="s">
        <v>5101</v>
      </c>
      <c r="D35" t="s">
        <v>404</v>
      </c>
      <c r="E35" t="s">
        <v>19</v>
      </c>
      <c r="F35" t="s">
        <v>1285</v>
      </c>
      <c r="G35" t="s">
        <v>20</v>
      </c>
      <c r="H35">
        <v>497</v>
      </c>
      <c r="I35">
        <v>0</v>
      </c>
      <c r="J35">
        <v>0</v>
      </c>
      <c r="O35" t="s">
        <v>21</v>
      </c>
      <c r="P35" t="s">
        <v>5178</v>
      </c>
    </row>
    <row r="36" spans="1:16" x14ac:dyDescent="0.3">
      <c r="A36" t="s">
        <v>5179</v>
      </c>
      <c r="C36" t="s">
        <v>5101</v>
      </c>
      <c r="D36" t="s">
        <v>408</v>
      </c>
      <c r="E36" t="s">
        <v>409</v>
      </c>
      <c r="G36" t="s">
        <v>20</v>
      </c>
      <c r="H36">
        <v>500</v>
      </c>
      <c r="I36">
        <v>2.6875</v>
      </c>
      <c r="J36">
        <v>497.3125</v>
      </c>
      <c r="O36" t="s">
        <v>21</v>
      </c>
      <c r="P36" t="s">
        <v>5180</v>
      </c>
    </row>
    <row r="37" spans="1:16" x14ac:dyDescent="0.3">
      <c r="A37" t="s">
        <v>5181</v>
      </c>
      <c r="C37" t="s">
        <v>5101</v>
      </c>
      <c r="D37" t="s">
        <v>408</v>
      </c>
      <c r="E37" t="s">
        <v>409</v>
      </c>
      <c r="G37" t="s">
        <v>20</v>
      </c>
      <c r="H37">
        <v>500</v>
      </c>
      <c r="I37">
        <v>2.6875</v>
      </c>
      <c r="J37">
        <v>497.3125</v>
      </c>
      <c r="O37" t="s">
        <v>412</v>
      </c>
      <c r="P37" t="s">
        <v>5182</v>
      </c>
    </row>
    <row r="38" spans="1:16" x14ac:dyDescent="0.3">
      <c r="A38" t="s">
        <v>5183</v>
      </c>
      <c r="C38" t="s">
        <v>5101</v>
      </c>
      <c r="D38" t="s">
        <v>408</v>
      </c>
      <c r="E38" t="s">
        <v>409</v>
      </c>
      <c r="G38" t="s">
        <v>20</v>
      </c>
      <c r="H38">
        <v>500</v>
      </c>
      <c r="I38">
        <v>2.6875</v>
      </c>
      <c r="J38">
        <v>497.3125</v>
      </c>
      <c r="O38" t="s">
        <v>412</v>
      </c>
      <c r="P38" t="s">
        <v>5184</v>
      </c>
    </row>
    <row r="39" spans="1:16" x14ac:dyDescent="0.3">
      <c r="A39" t="s">
        <v>5185</v>
      </c>
      <c r="C39" t="s">
        <v>5101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412</v>
      </c>
      <c r="P39" t="s">
        <v>5186</v>
      </c>
    </row>
    <row r="40" spans="1:16" x14ac:dyDescent="0.3">
      <c r="A40" t="s">
        <v>5187</v>
      </c>
      <c r="C40" t="s">
        <v>5101</v>
      </c>
      <c r="D40" t="s">
        <v>408</v>
      </c>
      <c r="E40" t="s">
        <v>409</v>
      </c>
      <c r="G40" t="s">
        <v>20</v>
      </c>
      <c r="H40">
        <v>500</v>
      </c>
      <c r="I40">
        <v>2.6875</v>
      </c>
      <c r="J40">
        <v>497.3125</v>
      </c>
      <c r="O40" t="s">
        <v>412</v>
      </c>
      <c r="P40" t="s">
        <v>5188</v>
      </c>
    </row>
    <row r="41" spans="1:16" x14ac:dyDescent="0.3">
      <c r="A41" t="s">
        <v>5189</v>
      </c>
      <c r="C41" t="s">
        <v>5101</v>
      </c>
      <c r="D41" t="s">
        <v>1116</v>
      </c>
      <c r="E41" t="s">
        <v>1117</v>
      </c>
      <c r="F41" t="s">
        <v>1305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5190</v>
      </c>
    </row>
    <row r="42" spans="1:16" x14ac:dyDescent="0.3">
      <c r="A42" t="s">
        <v>5191</v>
      </c>
      <c r="C42" t="s">
        <v>5101</v>
      </c>
      <c r="D42" t="s">
        <v>18</v>
      </c>
      <c r="E42" t="s">
        <v>19</v>
      </c>
      <c r="G42" t="s">
        <v>20</v>
      </c>
      <c r="H42">
        <v>1008.6</v>
      </c>
      <c r="I42">
        <v>0</v>
      </c>
      <c r="J42">
        <v>1008.6</v>
      </c>
      <c r="O42" t="s">
        <v>21</v>
      </c>
      <c r="P42" t="s">
        <v>5192</v>
      </c>
    </row>
    <row r="43" spans="1:16" x14ac:dyDescent="0.3">
      <c r="A43" t="s">
        <v>5193</v>
      </c>
      <c r="C43" t="s">
        <v>5101</v>
      </c>
      <c r="D43" t="s">
        <v>18</v>
      </c>
      <c r="E43" t="s">
        <v>19</v>
      </c>
      <c r="G43" t="s">
        <v>20</v>
      </c>
      <c r="H43">
        <v>1500</v>
      </c>
      <c r="I43">
        <v>0</v>
      </c>
      <c r="J43">
        <v>1500</v>
      </c>
      <c r="O43" t="s">
        <v>21</v>
      </c>
      <c r="P43" t="s">
        <v>5194</v>
      </c>
    </row>
    <row r="44" spans="1:16" x14ac:dyDescent="0.3">
      <c r="A44" t="s">
        <v>5195</v>
      </c>
      <c r="C44" t="s">
        <v>5101</v>
      </c>
      <c r="D44" t="s">
        <v>18</v>
      </c>
      <c r="E44" t="s">
        <v>19</v>
      </c>
      <c r="G44" t="s">
        <v>20</v>
      </c>
      <c r="H44">
        <v>1500</v>
      </c>
      <c r="I44">
        <v>0</v>
      </c>
      <c r="J44">
        <v>1500</v>
      </c>
      <c r="O44" t="s">
        <v>21</v>
      </c>
      <c r="P44" t="s">
        <v>5196</v>
      </c>
    </row>
    <row r="45" spans="1:16" x14ac:dyDescent="0.3">
      <c r="A45" t="s">
        <v>5197</v>
      </c>
      <c r="C45" t="s">
        <v>5101</v>
      </c>
      <c r="D45" t="s">
        <v>18</v>
      </c>
      <c r="E45" t="s">
        <v>19</v>
      </c>
      <c r="G45" t="s">
        <v>20</v>
      </c>
      <c r="H45">
        <v>1000</v>
      </c>
      <c r="I45">
        <v>0</v>
      </c>
      <c r="J45">
        <v>1000</v>
      </c>
      <c r="O45" t="s">
        <v>21</v>
      </c>
      <c r="P45" t="s">
        <v>5198</v>
      </c>
    </row>
    <row r="46" spans="1:16" x14ac:dyDescent="0.3">
      <c r="A46" t="s">
        <v>5199</v>
      </c>
      <c r="C46" t="s">
        <v>5101</v>
      </c>
      <c r="D46" t="s">
        <v>18</v>
      </c>
      <c r="E46" t="s">
        <v>19</v>
      </c>
      <c r="G46" t="s">
        <v>20</v>
      </c>
      <c r="H46">
        <v>1000</v>
      </c>
      <c r="I46">
        <v>0</v>
      </c>
      <c r="J46">
        <v>1000</v>
      </c>
      <c r="O46" t="s">
        <v>21</v>
      </c>
      <c r="P46" t="s">
        <v>5200</v>
      </c>
    </row>
    <row r="47" spans="1:16" x14ac:dyDescent="0.3">
      <c r="A47" t="s">
        <v>5201</v>
      </c>
      <c r="C47" t="s">
        <v>5101</v>
      </c>
      <c r="D47" t="s">
        <v>1116</v>
      </c>
      <c r="E47" t="s">
        <v>1195</v>
      </c>
      <c r="F47" t="s">
        <v>1196</v>
      </c>
      <c r="G47" t="s">
        <v>20</v>
      </c>
      <c r="H47">
        <v>0</v>
      </c>
      <c r="I47">
        <v>0</v>
      </c>
      <c r="J47">
        <v>0</v>
      </c>
      <c r="O47" t="s">
        <v>21</v>
      </c>
      <c r="P47" t="s">
        <v>5202</v>
      </c>
    </row>
    <row r="48" spans="1:16" x14ac:dyDescent="0.3">
      <c r="A48" t="s">
        <v>5203</v>
      </c>
      <c r="B48" s="1" t="s">
        <v>5204</v>
      </c>
      <c r="C48" t="s">
        <v>5101</v>
      </c>
      <c r="D48" t="s">
        <v>1203</v>
      </c>
      <c r="E48" t="s">
        <v>19</v>
      </c>
      <c r="G48" t="s">
        <v>20</v>
      </c>
      <c r="H48">
        <v>1000</v>
      </c>
      <c r="I48">
        <v>25</v>
      </c>
      <c r="J48">
        <v>0</v>
      </c>
      <c r="O48" t="s">
        <v>21</v>
      </c>
      <c r="P48" t="s">
        <v>5205</v>
      </c>
    </row>
    <row r="49" spans="1:16" x14ac:dyDescent="0.3">
      <c r="A49" t="s">
        <v>5206</v>
      </c>
      <c r="C49" t="s">
        <v>5101</v>
      </c>
      <c r="D49" t="s">
        <v>404</v>
      </c>
      <c r="E49" t="s">
        <v>19</v>
      </c>
      <c r="F49" t="s">
        <v>5207</v>
      </c>
      <c r="G49" t="s">
        <v>20</v>
      </c>
      <c r="H49">
        <v>498</v>
      </c>
      <c r="I49">
        <v>0</v>
      </c>
      <c r="J49">
        <v>0</v>
      </c>
      <c r="O49" t="s">
        <v>21</v>
      </c>
      <c r="P49" t="s">
        <v>5208</v>
      </c>
    </row>
    <row r="50" spans="1:16" x14ac:dyDescent="0.3">
      <c r="A50" t="s">
        <v>5209</v>
      </c>
      <c r="C50" t="s">
        <v>5101</v>
      </c>
      <c r="D50" t="s">
        <v>408</v>
      </c>
      <c r="E50" t="s">
        <v>409</v>
      </c>
      <c r="G50" t="s">
        <v>20</v>
      </c>
      <c r="H50">
        <v>500</v>
      </c>
      <c r="I50" s="1" t="s">
        <v>5210</v>
      </c>
      <c r="J50">
        <v>498.11874999999998</v>
      </c>
      <c r="O50" t="s">
        <v>21</v>
      </c>
      <c r="P50" t="s">
        <v>5211</v>
      </c>
    </row>
    <row r="51" spans="1:16" x14ac:dyDescent="0.3">
      <c r="A51" t="s">
        <v>5212</v>
      </c>
      <c r="C51" t="s">
        <v>5101</v>
      </c>
      <c r="D51" t="s">
        <v>404</v>
      </c>
      <c r="E51" t="s">
        <v>19</v>
      </c>
      <c r="F51" t="s">
        <v>5213</v>
      </c>
      <c r="G51" t="s">
        <v>20</v>
      </c>
      <c r="H51">
        <v>2387</v>
      </c>
      <c r="I51">
        <v>0</v>
      </c>
      <c r="J51">
        <v>0</v>
      </c>
      <c r="O51" t="s">
        <v>21</v>
      </c>
      <c r="P51" t="s">
        <v>5214</v>
      </c>
    </row>
    <row r="52" spans="1:16" x14ac:dyDescent="0.3">
      <c r="A52" t="s">
        <v>5215</v>
      </c>
      <c r="B52" s="1" t="s">
        <v>5216</v>
      </c>
      <c r="C52" t="s">
        <v>5101</v>
      </c>
      <c r="D52" t="s">
        <v>29</v>
      </c>
      <c r="E52" t="s">
        <v>1217</v>
      </c>
      <c r="F52" t="s">
        <v>5217</v>
      </c>
      <c r="G52" t="s">
        <v>20</v>
      </c>
      <c r="H52">
        <v>500</v>
      </c>
      <c r="I52">
        <v>105.35</v>
      </c>
      <c r="J52">
        <v>394.65</v>
      </c>
      <c r="O52" t="s">
        <v>21</v>
      </c>
      <c r="P52" t="s">
        <v>5218</v>
      </c>
    </row>
    <row r="53" spans="1:16" x14ac:dyDescent="0.3">
      <c r="A53" t="s">
        <v>5219</v>
      </c>
      <c r="C53" t="s">
        <v>5101</v>
      </c>
      <c r="D53" t="s">
        <v>408</v>
      </c>
      <c r="E53" t="s">
        <v>409</v>
      </c>
      <c r="G53" t="s">
        <v>20</v>
      </c>
      <c r="H53">
        <v>1000</v>
      </c>
      <c r="I53" s="1" t="s">
        <v>5220</v>
      </c>
      <c r="J53">
        <v>996.23749999999995</v>
      </c>
      <c r="O53" t="s">
        <v>21</v>
      </c>
      <c r="P53" t="s">
        <v>5221</v>
      </c>
    </row>
    <row r="54" spans="1:16" x14ac:dyDescent="0.3">
      <c r="A54" t="s">
        <v>5222</v>
      </c>
      <c r="C54" t="s">
        <v>5101</v>
      </c>
      <c r="D54" t="s">
        <v>408</v>
      </c>
      <c r="E54" t="s">
        <v>409</v>
      </c>
      <c r="G54" t="s">
        <v>20</v>
      </c>
      <c r="H54">
        <v>500</v>
      </c>
      <c r="I54" s="1" t="s">
        <v>5210</v>
      </c>
      <c r="J54">
        <v>498.11874999999998</v>
      </c>
      <c r="O54" t="s">
        <v>21</v>
      </c>
      <c r="P54" t="s">
        <v>5223</v>
      </c>
    </row>
    <row r="55" spans="1:16" x14ac:dyDescent="0.3">
      <c r="A55" t="s">
        <v>5224</v>
      </c>
      <c r="C55" t="s">
        <v>5101</v>
      </c>
      <c r="D55" t="s">
        <v>408</v>
      </c>
      <c r="E55" t="s">
        <v>409</v>
      </c>
      <c r="G55" t="s">
        <v>20</v>
      </c>
      <c r="H55">
        <v>500</v>
      </c>
      <c r="I55" s="1" t="s">
        <v>5210</v>
      </c>
      <c r="J55">
        <v>498.11874999999998</v>
      </c>
      <c r="O55" t="s">
        <v>21</v>
      </c>
      <c r="P55" t="s">
        <v>5225</v>
      </c>
    </row>
    <row r="56" spans="1:16" x14ac:dyDescent="0.3">
      <c r="A56" t="s">
        <v>5226</v>
      </c>
      <c r="C56" t="s">
        <v>5101</v>
      </c>
      <c r="D56" t="s">
        <v>1116</v>
      </c>
      <c r="E56" t="s">
        <v>1117</v>
      </c>
      <c r="F56" t="s">
        <v>5227</v>
      </c>
      <c r="G56" t="s">
        <v>20</v>
      </c>
      <c r="H56">
        <v>0</v>
      </c>
      <c r="I56">
        <v>0</v>
      </c>
      <c r="J56">
        <v>0</v>
      </c>
      <c r="O56" t="s">
        <v>21</v>
      </c>
      <c r="P56" t="s">
        <v>5228</v>
      </c>
    </row>
    <row r="57" spans="1:16" x14ac:dyDescent="0.3">
      <c r="A57" t="s">
        <v>5229</v>
      </c>
      <c r="C57" t="s">
        <v>5101</v>
      </c>
      <c r="D57" t="s">
        <v>404</v>
      </c>
      <c r="E57" t="s">
        <v>19</v>
      </c>
      <c r="F57" t="s">
        <v>5230</v>
      </c>
      <c r="G57" t="s">
        <v>20</v>
      </c>
      <c r="H57">
        <v>992</v>
      </c>
      <c r="I57">
        <v>0</v>
      </c>
      <c r="J57">
        <v>0</v>
      </c>
      <c r="O57" t="s">
        <v>21</v>
      </c>
      <c r="P57" t="s">
        <v>5231</v>
      </c>
    </row>
    <row r="58" spans="1:16" x14ac:dyDescent="0.3">
      <c r="A58" t="s">
        <v>5232</v>
      </c>
      <c r="C58" t="s">
        <v>5101</v>
      </c>
      <c r="D58" t="s">
        <v>1116</v>
      </c>
      <c r="E58" t="s">
        <v>1195</v>
      </c>
      <c r="F58" t="s">
        <v>1196</v>
      </c>
      <c r="G58" t="s">
        <v>20</v>
      </c>
      <c r="H58">
        <v>0</v>
      </c>
      <c r="I58">
        <v>0</v>
      </c>
      <c r="J58">
        <v>0</v>
      </c>
      <c r="O58" t="s">
        <v>21</v>
      </c>
      <c r="P58" t="s">
        <v>5233</v>
      </c>
    </row>
    <row r="59" spans="1:16" x14ac:dyDescent="0.3">
      <c r="A59" t="s">
        <v>5234</v>
      </c>
      <c r="B59" s="1" t="s">
        <v>5235</v>
      </c>
      <c r="C59" t="s">
        <v>5101</v>
      </c>
      <c r="D59" t="s">
        <v>1203</v>
      </c>
      <c r="E59" t="s">
        <v>19</v>
      </c>
      <c r="G59" t="s">
        <v>20</v>
      </c>
      <c r="H59">
        <v>3000</v>
      </c>
      <c r="I59">
        <v>25</v>
      </c>
      <c r="J59">
        <v>0</v>
      </c>
      <c r="O59" t="s">
        <v>21</v>
      </c>
      <c r="P59" t="s">
        <v>5236</v>
      </c>
    </row>
    <row r="60" spans="1:16" x14ac:dyDescent="0.3">
      <c r="A60" t="s">
        <v>5237</v>
      </c>
      <c r="C60" t="s">
        <v>5101</v>
      </c>
      <c r="D60" t="s">
        <v>1116</v>
      </c>
      <c r="E60" t="s">
        <v>1195</v>
      </c>
      <c r="F60" t="s">
        <v>1196</v>
      </c>
      <c r="G60" t="s">
        <v>20</v>
      </c>
      <c r="H60">
        <v>0</v>
      </c>
      <c r="I60">
        <v>0</v>
      </c>
      <c r="J60">
        <v>0</v>
      </c>
      <c r="O60" t="s">
        <v>21</v>
      </c>
      <c r="P60" t="s">
        <v>5238</v>
      </c>
    </row>
    <row r="61" spans="1:16" x14ac:dyDescent="0.3">
      <c r="A61" t="s">
        <v>5239</v>
      </c>
      <c r="C61" t="s">
        <v>5101</v>
      </c>
      <c r="D61" t="s">
        <v>408</v>
      </c>
      <c r="E61" t="s">
        <v>409</v>
      </c>
      <c r="G61" t="s">
        <v>20</v>
      </c>
      <c r="H61">
        <v>500</v>
      </c>
      <c r="I61" s="1" t="s">
        <v>5210</v>
      </c>
      <c r="J61">
        <v>498.11874999999998</v>
      </c>
      <c r="O61" t="s">
        <v>21</v>
      </c>
      <c r="P61" t="s">
        <v>5240</v>
      </c>
    </row>
    <row r="62" spans="1:16" x14ac:dyDescent="0.3">
      <c r="A62" t="s">
        <v>5241</v>
      </c>
      <c r="C62" t="s">
        <v>5101</v>
      </c>
      <c r="D62" t="s">
        <v>1116</v>
      </c>
      <c r="E62" t="s">
        <v>1195</v>
      </c>
      <c r="F62" t="s">
        <v>1196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5242</v>
      </c>
    </row>
    <row r="63" spans="1:16" x14ac:dyDescent="0.3">
      <c r="A63" t="s">
        <v>5243</v>
      </c>
      <c r="C63" t="s">
        <v>5101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5244</v>
      </c>
    </row>
    <row r="64" spans="1:16" x14ac:dyDescent="0.3">
      <c r="A64" t="s">
        <v>5245</v>
      </c>
      <c r="C64" t="s">
        <v>5101</v>
      </c>
      <c r="D64" t="s">
        <v>408</v>
      </c>
      <c r="E64" t="s">
        <v>3602</v>
      </c>
      <c r="F64" t="s">
        <v>5246</v>
      </c>
      <c r="G64" t="s">
        <v>20</v>
      </c>
      <c r="H64">
        <v>500</v>
      </c>
      <c r="I64">
        <v>5.375</v>
      </c>
      <c r="J64">
        <v>494.625</v>
      </c>
      <c r="L64">
        <v>1.25</v>
      </c>
      <c r="M64">
        <v>0.375</v>
      </c>
      <c r="N64">
        <v>0</v>
      </c>
      <c r="O64" t="s">
        <v>21</v>
      </c>
      <c r="P64" t="s">
        <v>5247</v>
      </c>
    </row>
    <row r="65" spans="1:16" x14ac:dyDescent="0.3">
      <c r="A65" t="s">
        <v>5248</v>
      </c>
      <c r="C65" t="s">
        <v>5101</v>
      </c>
      <c r="D65" t="s">
        <v>404</v>
      </c>
      <c r="E65" t="s">
        <v>19</v>
      </c>
      <c r="F65" t="s">
        <v>5249</v>
      </c>
      <c r="G65" t="s">
        <v>20</v>
      </c>
      <c r="H65">
        <v>498</v>
      </c>
      <c r="I65">
        <v>0</v>
      </c>
      <c r="J65">
        <v>0</v>
      </c>
      <c r="O65" t="s">
        <v>21</v>
      </c>
      <c r="P65" t="s">
        <v>5250</v>
      </c>
    </row>
    <row r="66" spans="1:16" x14ac:dyDescent="0.3">
      <c r="A66" t="s">
        <v>5251</v>
      </c>
      <c r="C66" t="s">
        <v>5101</v>
      </c>
      <c r="D66" t="s">
        <v>408</v>
      </c>
      <c r="E66" t="s">
        <v>409</v>
      </c>
      <c r="G66" t="s">
        <v>20</v>
      </c>
      <c r="H66">
        <v>500</v>
      </c>
      <c r="I66" s="1" t="s">
        <v>5210</v>
      </c>
      <c r="J66">
        <v>498.11874999999998</v>
      </c>
      <c r="O66" t="s">
        <v>21</v>
      </c>
      <c r="P66" t="s">
        <v>5252</v>
      </c>
    </row>
    <row r="67" spans="1:16" x14ac:dyDescent="0.3">
      <c r="A67" t="s">
        <v>5253</v>
      </c>
      <c r="C67" t="s">
        <v>5101</v>
      </c>
      <c r="D67" t="s">
        <v>404</v>
      </c>
      <c r="E67" t="s">
        <v>19</v>
      </c>
      <c r="F67" t="s">
        <v>5254</v>
      </c>
      <c r="G67" t="s">
        <v>20</v>
      </c>
      <c r="H67">
        <v>1295</v>
      </c>
      <c r="I67">
        <v>0</v>
      </c>
      <c r="J67">
        <v>0</v>
      </c>
      <c r="O67" t="s">
        <v>21</v>
      </c>
      <c r="P67" t="s">
        <v>5255</v>
      </c>
    </row>
    <row r="68" spans="1:16" x14ac:dyDescent="0.3">
      <c r="A68" t="s">
        <v>5256</v>
      </c>
      <c r="C68" t="s">
        <v>5101</v>
      </c>
      <c r="D68" t="s">
        <v>408</v>
      </c>
      <c r="E68" t="s">
        <v>409</v>
      </c>
      <c r="G68" t="s">
        <v>20</v>
      </c>
      <c r="H68">
        <v>700</v>
      </c>
      <c r="I68" s="1" t="s">
        <v>5257</v>
      </c>
      <c r="J68">
        <v>697.36625000000004</v>
      </c>
      <c r="O68" t="s">
        <v>412</v>
      </c>
      <c r="P68" t="s">
        <v>5258</v>
      </c>
    </row>
    <row r="69" spans="1:16" x14ac:dyDescent="0.3">
      <c r="A69" t="s">
        <v>5259</v>
      </c>
      <c r="C69" t="s">
        <v>5101</v>
      </c>
      <c r="D69" t="s">
        <v>408</v>
      </c>
      <c r="E69" t="s">
        <v>409</v>
      </c>
      <c r="G69" t="s">
        <v>20</v>
      </c>
      <c r="H69">
        <v>800</v>
      </c>
      <c r="I69">
        <v>3.01</v>
      </c>
      <c r="J69">
        <v>796.99</v>
      </c>
      <c r="O69" t="s">
        <v>21</v>
      </c>
      <c r="P69" t="s">
        <v>5260</v>
      </c>
    </row>
    <row r="70" spans="1:16" x14ac:dyDescent="0.3">
      <c r="A70" t="s">
        <v>5261</v>
      </c>
      <c r="C70" t="s">
        <v>5101</v>
      </c>
      <c r="D70" t="s">
        <v>408</v>
      </c>
      <c r="E70" t="s">
        <v>409</v>
      </c>
      <c r="G70" t="s">
        <v>20</v>
      </c>
      <c r="H70">
        <v>500</v>
      </c>
      <c r="I70" s="1" t="s">
        <v>5210</v>
      </c>
      <c r="J70">
        <v>498.11874999999998</v>
      </c>
      <c r="O70" t="s">
        <v>21</v>
      </c>
      <c r="P70" t="s">
        <v>5262</v>
      </c>
    </row>
    <row r="71" spans="1:16" x14ac:dyDescent="0.3">
      <c r="A71" t="s">
        <v>5263</v>
      </c>
      <c r="C71" t="s">
        <v>5101</v>
      </c>
      <c r="D71" t="s">
        <v>1116</v>
      </c>
      <c r="E71" t="s">
        <v>1195</v>
      </c>
      <c r="F71" t="s">
        <v>1196</v>
      </c>
      <c r="G71" t="s">
        <v>20</v>
      </c>
      <c r="H71">
        <v>0</v>
      </c>
      <c r="I71">
        <v>0</v>
      </c>
      <c r="J71">
        <v>0</v>
      </c>
      <c r="O71" t="s">
        <v>21</v>
      </c>
      <c r="P71" t="s">
        <v>5264</v>
      </c>
    </row>
    <row r="72" spans="1:16" x14ac:dyDescent="0.3">
      <c r="A72" t="s">
        <v>5265</v>
      </c>
      <c r="C72" t="s">
        <v>5101</v>
      </c>
      <c r="D72" t="s">
        <v>18</v>
      </c>
      <c r="E72" t="s">
        <v>19</v>
      </c>
      <c r="G72" t="s">
        <v>20</v>
      </c>
      <c r="H72">
        <v>4508.6000000000004</v>
      </c>
      <c r="I72">
        <v>0</v>
      </c>
      <c r="J72">
        <v>4508.6000000000004</v>
      </c>
      <c r="O72" t="s">
        <v>21</v>
      </c>
      <c r="P72" t="s">
        <v>5266</v>
      </c>
    </row>
    <row r="73" spans="1:16" x14ac:dyDescent="0.3">
      <c r="A73" t="s">
        <v>5267</v>
      </c>
      <c r="C73" t="s">
        <v>5101</v>
      </c>
      <c r="D73" t="s">
        <v>18</v>
      </c>
      <c r="E73" t="s">
        <v>19</v>
      </c>
      <c r="G73" t="s">
        <v>20</v>
      </c>
      <c r="H73">
        <v>5000</v>
      </c>
      <c r="I73">
        <v>0</v>
      </c>
      <c r="J73">
        <v>5000</v>
      </c>
      <c r="O73" t="s">
        <v>21</v>
      </c>
      <c r="P73" t="s">
        <v>5268</v>
      </c>
    </row>
    <row r="74" spans="1:16" x14ac:dyDescent="0.3">
      <c r="A74" t="s">
        <v>5269</v>
      </c>
      <c r="C74" t="s">
        <v>5101</v>
      </c>
      <c r="D74" t="s">
        <v>18</v>
      </c>
      <c r="E74" t="s">
        <v>19</v>
      </c>
      <c r="G74" t="s">
        <v>20</v>
      </c>
      <c r="H74">
        <v>5000</v>
      </c>
      <c r="I74">
        <v>0</v>
      </c>
      <c r="J74">
        <v>5000</v>
      </c>
      <c r="O74" t="s">
        <v>21</v>
      </c>
      <c r="P74" t="s">
        <v>5270</v>
      </c>
    </row>
    <row r="75" spans="1:16" x14ac:dyDescent="0.3">
      <c r="A75" t="s">
        <v>5271</v>
      </c>
      <c r="C75" t="s">
        <v>5101</v>
      </c>
      <c r="D75" t="s">
        <v>1203</v>
      </c>
      <c r="E75" t="s">
        <v>19</v>
      </c>
      <c r="G75" t="s">
        <v>20</v>
      </c>
      <c r="H75">
        <v>10000</v>
      </c>
      <c r="I75">
        <v>25</v>
      </c>
      <c r="J75">
        <v>0</v>
      </c>
      <c r="O75" t="s">
        <v>412</v>
      </c>
      <c r="P75" t="s">
        <v>5272</v>
      </c>
    </row>
    <row r="76" spans="1:16" x14ac:dyDescent="0.3">
      <c r="A76" t="s">
        <v>5273</v>
      </c>
      <c r="C76" t="s">
        <v>5101</v>
      </c>
      <c r="D76" t="s">
        <v>404</v>
      </c>
      <c r="E76" t="s">
        <v>19</v>
      </c>
      <c r="F76" t="s">
        <v>5274</v>
      </c>
      <c r="G76" t="s">
        <v>20</v>
      </c>
      <c r="H76">
        <v>4979</v>
      </c>
      <c r="I76">
        <v>0</v>
      </c>
      <c r="J76">
        <v>0</v>
      </c>
      <c r="O76" t="s">
        <v>21</v>
      </c>
      <c r="P76" t="s">
        <v>5275</v>
      </c>
    </row>
    <row r="77" spans="1:16" x14ac:dyDescent="0.3">
      <c r="A77" t="s">
        <v>5276</v>
      </c>
      <c r="C77" t="s">
        <v>5101</v>
      </c>
      <c r="D77" t="s">
        <v>408</v>
      </c>
      <c r="E77" t="s">
        <v>409</v>
      </c>
      <c r="G77" t="s">
        <v>20</v>
      </c>
      <c r="H77">
        <v>1000</v>
      </c>
      <c r="I77" s="1" t="s">
        <v>5220</v>
      </c>
      <c r="J77">
        <v>996.23749999999995</v>
      </c>
      <c r="O77" t="s">
        <v>412</v>
      </c>
      <c r="P77" t="s">
        <v>5277</v>
      </c>
    </row>
    <row r="78" spans="1:16" x14ac:dyDescent="0.3">
      <c r="A78" t="s">
        <v>5278</v>
      </c>
      <c r="C78" t="s">
        <v>5101</v>
      </c>
      <c r="D78" t="s">
        <v>408</v>
      </c>
      <c r="E78" t="s">
        <v>409</v>
      </c>
      <c r="G78" t="s">
        <v>20</v>
      </c>
      <c r="H78">
        <v>500</v>
      </c>
      <c r="I78" s="1" t="s">
        <v>5210</v>
      </c>
      <c r="J78">
        <v>498.11874999999998</v>
      </c>
      <c r="O78" t="s">
        <v>21</v>
      </c>
      <c r="P78" t="s">
        <v>5279</v>
      </c>
    </row>
    <row r="79" spans="1:16" x14ac:dyDescent="0.3">
      <c r="A79" t="s">
        <v>5280</v>
      </c>
      <c r="C79" t="s">
        <v>5101</v>
      </c>
      <c r="D79" t="s">
        <v>408</v>
      </c>
      <c r="E79" t="s">
        <v>409</v>
      </c>
      <c r="G79" t="s">
        <v>20</v>
      </c>
      <c r="H79">
        <v>500</v>
      </c>
      <c r="I79" s="1" t="s">
        <v>5210</v>
      </c>
      <c r="J79">
        <v>498.11874999999998</v>
      </c>
      <c r="O79" t="s">
        <v>21</v>
      </c>
      <c r="P79" t="s">
        <v>5281</v>
      </c>
    </row>
    <row r="80" spans="1:16" x14ac:dyDescent="0.3">
      <c r="A80" t="s">
        <v>5282</v>
      </c>
      <c r="C80" t="s">
        <v>5101</v>
      </c>
      <c r="D80" t="s">
        <v>408</v>
      </c>
      <c r="E80" t="s">
        <v>409</v>
      </c>
      <c r="G80" t="s">
        <v>20</v>
      </c>
      <c r="H80">
        <v>1000</v>
      </c>
      <c r="I80" s="1" t="s">
        <v>5220</v>
      </c>
      <c r="J80">
        <v>996.23749999999995</v>
      </c>
      <c r="O80" t="s">
        <v>21</v>
      </c>
      <c r="P80" t="s">
        <v>5283</v>
      </c>
    </row>
    <row r="81" spans="1:16" x14ac:dyDescent="0.3">
      <c r="A81" t="s">
        <v>5284</v>
      </c>
      <c r="C81" t="s">
        <v>5101</v>
      </c>
      <c r="D81" t="s">
        <v>408</v>
      </c>
      <c r="E81" t="s">
        <v>409</v>
      </c>
      <c r="G81" t="s">
        <v>20</v>
      </c>
      <c r="H81">
        <v>500</v>
      </c>
      <c r="I81" s="1" t="s">
        <v>5210</v>
      </c>
      <c r="J81">
        <v>498.11874999999998</v>
      </c>
      <c r="O81" t="s">
        <v>21</v>
      </c>
      <c r="P81" t="s">
        <v>5285</v>
      </c>
    </row>
    <row r="82" spans="1:16" x14ac:dyDescent="0.3">
      <c r="A82" t="s">
        <v>5286</v>
      </c>
      <c r="C82" t="s">
        <v>5101</v>
      </c>
      <c r="D82" t="s">
        <v>408</v>
      </c>
      <c r="E82" t="s">
        <v>409</v>
      </c>
      <c r="G82" t="s">
        <v>20</v>
      </c>
      <c r="H82">
        <v>500</v>
      </c>
      <c r="I82" s="1" t="s">
        <v>5210</v>
      </c>
      <c r="J82">
        <v>498.11874999999998</v>
      </c>
      <c r="O82" t="s">
        <v>21</v>
      </c>
      <c r="P82" t="s">
        <v>5287</v>
      </c>
    </row>
    <row r="83" spans="1:16" x14ac:dyDescent="0.3">
      <c r="A83" t="s">
        <v>5288</v>
      </c>
      <c r="B83" s="1" t="s">
        <v>5289</v>
      </c>
      <c r="C83" t="s">
        <v>5101</v>
      </c>
      <c r="D83" t="s">
        <v>29</v>
      </c>
      <c r="E83" t="s">
        <v>5050</v>
      </c>
      <c r="F83" t="s">
        <v>5290</v>
      </c>
      <c r="G83" t="s">
        <v>20</v>
      </c>
      <c r="H83">
        <v>500</v>
      </c>
      <c r="I83">
        <v>4.03125</v>
      </c>
      <c r="J83">
        <v>495.96875</v>
      </c>
      <c r="L83">
        <v>0</v>
      </c>
      <c r="M83">
        <v>0.28125</v>
      </c>
      <c r="N83">
        <v>0</v>
      </c>
      <c r="O83" t="s">
        <v>21</v>
      </c>
      <c r="P83" t="s">
        <v>5291</v>
      </c>
    </row>
    <row r="84" spans="1:16" x14ac:dyDescent="0.3">
      <c r="A84" t="s">
        <v>5292</v>
      </c>
      <c r="C84" t="s">
        <v>5101</v>
      </c>
      <c r="D84" t="s">
        <v>408</v>
      </c>
      <c r="E84" t="s">
        <v>409</v>
      </c>
      <c r="G84" t="s">
        <v>20</v>
      </c>
      <c r="H84">
        <v>1000</v>
      </c>
      <c r="I84" s="1" t="s">
        <v>5220</v>
      </c>
      <c r="J84">
        <v>996.23749999999995</v>
      </c>
      <c r="O84" t="s">
        <v>21</v>
      </c>
      <c r="P84" t="s">
        <v>5293</v>
      </c>
    </row>
    <row r="85" spans="1:16" x14ac:dyDescent="0.3">
      <c r="A85" t="s">
        <v>5294</v>
      </c>
      <c r="C85" t="s">
        <v>5101</v>
      </c>
      <c r="D85" t="s">
        <v>408</v>
      </c>
      <c r="E85" t="s">
        <v>409</v>
      </c>
      <c r="G85" t="s">
        <v>20</v>
      </c>
      <c r="H85">
        <v>500000</v>
      </c>
      <c r="I85">
        <v>107.5</v>
      </c>
      <c r="J85">
        <v>499892.5</v>
      </c>
      <c r="O85" t="s">
        <v>412</v>
      </c>
      <c r="P85" t="s">
        <v>5295</v>
      </c>
    </row>
    <row r="86" spans="1:16" x14ac:dyDescent="0.3">
      <c r="A86" t="s">
        <v>5296</v>
      </c>
      <c r="C86" t="s">
        <v>5101</v>
      </c>
      <c r="D86" t="s">
        <v>408</v>
      </c>
      <c r="E86" t="s">
        <v>409</v>
      </c>
      <c r="G86" t="s">
        <v>20</v>
      </c>
      <c r="H86">
        <v>500</v>
      </c>
      <c r="I86" s="1" t="s">
        <v>5210</v>
      </c>
      <c r="J86">
        <v>498.11874999999998</v>
      </c>
      <c r="O86" t="s">
        <v>412</v>
      </c>
      <c r="P86" t="s">
        <v>5297</v>
      </c>
    </row>
    <row r="87" spans="1:16" x14ac:dyDescent="0.3">
      <c r="A87" t="s">
        <v>5298</v>
      </c>
      <c r="C87" t="s">
        <v>5101</v>
      </c>
      <c r="D87" t="s">
        <v>408</v>
      </c>
      <c r="E87" t="s">
        <v>409</v>
      </c>
      <c r="G87" t="s">
        <v>20</v>
      </c>
      <c r="H87">
        <v>500</v>
      </c>
      <c r="I87" s="1" t="s">
        <v>5210</v>
      </c>
      <c r="J87">
        <v>498.11874999999998</v>
      </c>
      <c r="O87" t="s">
        <v>21</v>
      </c>
      <c r="P87" t="s">
        <v>5299</v>
      </c>
    </row>
    <row r="88" spans="1:16" x14ac:dyDescent="0.3">
      <c r="A88" t="s">
        <v>5300</v>
      </c>
      <c r="C88" t="s">
        <v>5101</v>
      </c>
      <c r="D88" t="s">
        <v>404</v>
      </c>
      <c r="E88" t="s">
        <v>19</v>
      </c>
      <c r="F88" t="s">
        <v>5301</v>
      </c>
      <c r="G88" t="s">
        <v>20</v>
      </c>
      <c r="H88">
        <v>3486</v>
      </c>
      <c r="I88">
        <v>0</v>
      </c>
      <c r="J88">
        <v>0</v>
      </c>
      <c r="O88" t="s">
        <v>21</v>
      </c>
      <c r="P88" t="s">
        <v>5302</v>
      </c>
    </row>
    <row r="89" spans="1:16" x14ac:dyDescent="0.3">
      <c r="A89" t="s">
        <v>5303</v>
      </c>
      <c r="C89" t="s">
        <v>5101</v>
      </c>
      <c r="D89" t="s">
        <v>408</v>
      </c>
      <c r="E89" t="s">
        <v>409</v>
      </c>
      <c r="G89" t="s">
        <v>20</v>
      </c>
      <c r="H89">
        <v>1000</v>
      </c>
      <c r="I89" s="1" t="s">
        <v>5220</v>
      </c>
      <c r="J89">
        <v>996.23749999999995</v>
      </c>
      <c r="O89" t="s">
        <v>21</v>
      </c>
      <c r="P89" t="s">
        <v>5304</v>
      </c>
    </row>
    <row r="90" spans="1:16" x14ac:dyDescent="0.3">
      <c r="A90" t="s">
        <v>5305</v>
      </c>
      <c r="C90" t="s">
        <v>5101</v>
      </c>
      <c r="D90" t="s">
        <v>408</v>
      </c>
      <c r="E90" t="s">
        <v>409</v>
      </c>
      <c r="G90" t="s">
        <v>20</v>
      </c>
      <c r="H90">
        <v>500</v>
      </c>
      <c r="I90" s="1" t="s">
        <v>5210</v>
      </c>
      <c r="J90">
        <v>498.11874999999998</v>
      </c>
      <c r="O90" t="s">
        <v>21</v>
      </c>
      <c r="P90" t="s">
        <v>5306</v>
      </c>
    </row>
    <row r="91" spans="1:16" x14ac:dyDescent="0.3">
      <c r="A91" t="s">
        <v>5307</v>
      </c>
      <c r="C91" t="s">
        <v>5101</v>
      </c>
      <c r="D91" t="s">
        <v>408</v>
      </c>
      <c r="E91" t="s">
        <v>409</v>
      </c>
      <c r="G91" t="s">
        <v>20</v>
      </c>
      <c r="H91">
        <v>500</v>
      </c>
      <c r="I91" s="1" t="s">
        <v>5210</v>
      </c>
      <c r="J91">
        <v>498.11874999999998</v>
      </c>
      <c r="O91" t="s">
        <v>21</v>
      </c>
      <c r="P91" t="s">
        <v>5308</v>
      </c>
    </row>
    <row r="92" spans="1:16" x14ac:dyDescent="0.3">
      <c r="A92" t="s">
        <v>5309</v>
      </c>
      <c r="C92" t="s">
        <v>5101</v>
      </c>
      <c r="D92" t="s">
        <v>408</v>
      </c>
      <c r="E92" t="s">
        <v>409</v>
      </c>
      <c r="G92" t="s">
        <v>20</v>
      </c>
      <c r="H92">
        <v>1000</v>
      </c>
      <c r="I92" s="1" t="s">
        <v>5220</v>
      </c>
      <c r="J92">
        <v>996.23749999999995</v>
      </c>
      <c r="O92" t="s">
        <v>412</v>
      </c>
      <c r="P92" t="s">
        <v>5310</v>
      </c>
    </row>
    <row r="93" spans="1:16" x14ac:dyDescent="0.3">
      <c r="A93" t="s">
        <v>5311</v>
      </c>
      <c r="C93" t="s">
        <v>5101</v>
      </c>
      <c r="D93" t="s">
        <v>408</v>
      </c>
      <c r="E93" t="s">
        <v>409</v>
      </c>
      <c r="G93" t="s">
        <v>20</v>
      </c>
      <c r="H93">
        <v>500</v>
      </c>
      <c r="I93" s="1" t="s">
        <v>5210</v>
      </c>
      <c r="J93">
        <v>498.11874999999998</v>
      </c>
      <c r="O93" t="s">
        <v>21</v>
      </c>
      <c r="P93" t="s">
        <v>5312</v>
      </c>
    </row>
    <row r="94" spans="1:16" x14ac:dyDescent="0.3">
      <c r="A94" t="s">
        <v>5313</v>
      </c>
      <c r="C94" t="s">
        <v>5101</v>
      </c>
      <c r="D94" t="s">
        <v>408</v>
      </c>
      <c r="E94" t="s">
        <v>409</v>
      </c>
      <c r="G94" t="s">
        <v>20</v>
      </c>
      <c r="H94">
        <v>500</v>
      </c>
      <c r="I94" s="1" t="s">
        <v>5210</v>
      </c>
      <c r="J94">
        <v>498.11874999999998</v>
      </c>
      <c r="O94" t="s">
        <v>21</v>
      </c>
      <c r="P94" t="s">
        <v>5314</v>
      </c>
    </row>
    <row r="95" spans="1:16" x14ac:dyDescent="0.3">
      <c r="A95" t="s">
        <v>5315</v>
      </c>
      <c r="C95" t="s">
        <v>5101</v>
      </c>
      <c r="D95" t="s">
        <v>408</v>
      </c>
      <c r="E95" t="s">
        <v>409</v>
      </c>
      <c r="G95" t="s">
        <v>20</v>
      </c>
      <c r="H95">
        <v>500</v>
      </c>
      <c r="I95" s="1" t="s">
        <v>5210</v>
      </c>
      <c r="J95">
        <v>498.11874999999998</v>
      </c>
      <c r="O95" t="s">
        <v>21</v>
      </c>
      <c r="P95" t="s">
        <v>5316</v>
      </c>
    </row>
    <row r="96" spans="1:16" x14ac:dyDescent="0.3">
      <c r="A96" t="s">
        <v>5317</v>
      </c>
      <c r="C96" t="s">
        <v>5101</v>
      </c>
      <c r="D96" t="s">
        <v>408</v>
      </c>
      <c r="E96" t="s">
        <v>409</v>
      </c>
      <c r="G96" t="s">
        <v>20</v>
      </c>
      <c r="H96">
        <v>500</v>
      </c>
      <c r="I96" s="1" t="s">
        <v>5210</v>
      </c>
      <c r="J96">
        <v>498.11874999999998</v>
      </c>
      <c r="O96" t="s">
        <v>412</v>
      </c>
      <c r="P96" t="s">
        <v>5318</v>
      </c>
    </row>
    <row r="97" spans="1:16" x14ac:dyDescent="0.3">
      <c r="A97" t="s">
        <v>5319</v>
      </c>
      <c r="C97" t="s">
        <v>5101</v>
      </c>
      <c r="D97" t="s">
        <v>404</v>
      </c>
      <c r="E97" t="s">
        <v>19</v>
      </c>
      <c r="F97" t="s">
        <v>5320</v>
      </c>
      <c r="G97" t="s">
        <v>20</v>
      </c>
      <c r="H97">
        <v>1992</v>
      </c>
      <c r="I97">
        <v>0</v>
      </c>
      <c r="J97">
        <v>0</v>
      </c>
      <c r="O97" t="s">
        <v>21</v>
      </c>
      <c r="P97" t="s">
        <v>5321</v>
      </c>
    </row>
    <row r="98" spans="1:16" x14ac:dyDescent="0.3">
      <c r="A98" t="s">
        <v>5322</v>
      </c>
      <c r="C98" t="s">
        <v>5101</v>
      </c>
      <c r="D98" t="s">
        <v>408</v>
      </c>
      <c r="E98" t="s">
        <v>409</v>
      </c>
      <c r="G98" t="s">
        <v>20</v>
      </c>
      <c r="H98">
        <v>500</v>
      </c>
      <c r="I98" s="1" t="s">
        <v>5210</v>
      </c>
      <c r="J98">
        <v>498.11874999999998</v>
      </c>
      <c r="O98" t="s">
        <v>21</v>
      </c>
      <c r="P98" t="s">
        <v>5323</v>
      </c>
    </row>
    <row r="99" spans="1:16" x14ac:dyDescent="0.3">
      <c r="A99" t="s">
        <v>5324</v>
      </c>
      <c r="C99" t="s">
        <v>5101</v>
      </c>
      <c r="D99" t="s">
        <v>408</v>
      </c>
      <c r="E99" t="s">
        <v>409</v>
      </c>
      <c r="G99" t="s">
        <v>20</v>
      </c>
      <c r="H99">
        <v>1000</v>
      </c>
      <c r="I99" s="1" t="s">
        <v>5220</v>
      </c>
      <c r="J99">
        <v>996.23749999999995</v>
      </c>
      <c r="O99" t="s">
        <v>21</v>
      </c>
      <c r="P99" t="s">
        <v>5325</v>
      </c>
    </row>
    <row r="100" spans="1:16" x14ac:dyDescent="0.3">
      <c r="A100" t="s">
        <v>5326</v>
      </c>
      <c r="C100" t="s">
        <v>5101</v>
      </c>
      <c r="D100" t="s">
        <v>408</v>
      </c>
      <c r="E100" t="s">
        <v>409</v>
      </c>
      <c r="G100" t="s">
        <v>20</v>
      </c>
      <c r="H100">
        <v>500</v>
      </c>
      <c r="I100" s="1" t="s">
        <v>5210</v>
      </c>
      <c r="J100">
        <v>498.11874999999998</v>
      </c>
      <c r="O100" t="s">
        <v>21</v>
      </c>
      <c r="P100" t="s">
        <v>5327</v>
      </c>
    </row>
    <row r="101" spans="1:16" x14ac:dyDescent="0.3">
      <c r="A101" t="s">
        <v>5328</v>
      </c>
      <c r="B101" s="1" t="s">
        <v>5329</v>
      </c>
      <c r="C101" t="s">
        <v>5101</v>
      </c>
      <c r="D101" t="s">
        <v>1203</v>
      </c>
      <c r="E101" t="s">
        <v>19</v>
      </c>
      <c r="G101" t="s">
        <v>20</v>
      </c>
      <c r="H101">
        <v>2800</v>
      </c>
      <c r="I101">
        <v>25</v>
      </c>
      <c r="J101">
        <v>0</v>
      </c>
      <c r="O101" t="s">
        <v>21</v>
      </c>
      <c r="P101" t="s">
        <v>5330</v>
      </c>
    </row>
    <row r="102" spans="1:16" x14ac:dyDescent="0.3">
      <c r="A102" t="s">
        <v>5331</v>
      </c>
      <c r="C102" t="s">
        <v>5101</v>
      </c>
      <c r="D102" t="s">
        <v>404</v>
      </c>
      <c r="E102" t="s">
        <v>19</v>
      </c>
      <c r="F102" t="s">
        <v>5332</v>
      </c>
      <c r="G102" t="s">
        <v>20</v>
      </c>
      <c r="H102">
        <v>983</v>
      </c>
      <c r="I102">
        <v>0</v>
      </c>
      <c r="J102">
        <v>0</v>
      </c>
      <c r="O102" t="s">
        <v>21</v>
      </c>
      <c r="P102" t="s">
        <v>5333</v>
      </c>
    </row>
    <row r="103" spans="1:16" x14ac:dyDescent="0.3">
      <c r="A103" t="s">
        <v>5334</v>
      </c>
      <c r="C103" t="s">
        <v>5101</v>
      </c>
      <c r="D103" t="s">
        <v>408</v>
      </c>
      <c r="E103" t="s">
        <v>3602</v>
      </c>
      <c r="F103" t="s">
        <v>5335</v>
      </c>
      <c r="G103" t="s">
        <v>20</v>
      </c>
      <c r="H103">
        <v>500</v>
      </c>
      <c r="I103">
        <v>8.0625</v>
      </c>
      <c r="J103">
        <v>491.9375</v>
      </c>
      <c r="L103">
        <v>0</v>
      </c>
      <c r="M103">
        <v>0.5625</v>
      </c>
      <c r="N103">
        <v>0</v>
      </c>
      <c r="O103" t="s">
        <v>21</v>
      </c>
      <c r="P103" t="s">
        <v>5336</v>
      </c>
    </row>
    <row r="104" spans="1:16" x14ac:dyDescent="0.3">
      <c r="A104" t="s">
        <v>5337</v>
      </c>
      <c r="C104" t="s">
        <v>5101</v>
      </c>
      <c r="D104" t="s">
        <v>408</v>
      </c>
      <c r="E104" t="s">
        <v>3602</v>
      </c>
      <c r="F104" t="s">
        <v>5338</v>
      </c>
      <c r="G104" t="s">
        <v>20</v>
      </c>
      <c r="H104">
        <v>500</v>
      </c>
      <c r="I104">
        <v>8.0625</v>
      </c>
      <c r="J104">
        <v>491.9375</v>
      </c>
      <c r="L104">
        <v>0</v>
      </c>
      <c r="M104">
        <v>0.5625</v>
      </c>
      <c r="N104">
        <v>0</v>
      </c>
      <c r="O104" t="s">
        <v>21</v>
      </c>
      <c r="P104" t="s">
        <v>5339</v>
      </c>
    </row>
    <row r="105" spans="1:16" x14ac:dyDescent="0.3">
      <c r="A105" t="s">
        <v>5340</v>
      </c>
      <c r="C105" t="s">
        <v>5101</v>
      </c>
      <c r="D105" t="s">
        <v>1116</v>
      </c>
      <c r="E105" t="s">
        <v>1117</v>
      </c>
      <c r="F105" t="s">
        <v>1196</v>
      </c>
      <c r="G105" t="s">
        <v>20</v>
      </c>
      <c r="H105">
        <v>0</v>
      </c>
      <c r="I105">
        <v>0</v>
      </c>
      <c r="J105">
        <v>0</v>
      </c>
      <c r="O105" t="s">
        <v>21</v>
      </c>
      <c r="P105" t="s">
        <v>5341</v>
      </c>
    </row>
    <row r="106" spans="1:16" x14ac:dyDescent="0.3">
      <c r="A106" t="s">
        <v>5342</v>
      </c>
      <c r="B106" s="1" t="s">
        <v>5343</v>
      </c>
      <c r="C106" t="s">
        <v>5101</v>
      </c>
      <c r="D106" t="s">
        <v>29</v>
      </c>
      <c r="E106" t="s">
        <v>3602</v>
      </c>
      <c r="F106" t="s">
        <v>5344</v>
      </c>
      <c r="G106" t="s">
        <v>20</v>
      </c>
      <c r="H106">
        <v>1000</v>
      </c>
      <c r="I106">
        <v>16.125</v>
      </c>
      <c r="J106">
        <v>983.875</v>
      </c>
      <c r="L106">
        <v>0</v>
      </c>
      <c r="M106">
        <v>1.125</v>
      </c>
      <c r="N106">
        <v>0</v>
      </c>
      <c r="O106" t="s">
        <v>21</v>
      </c>
      <c r="P106" t="s">
        <v>5345</v>
      </c>
    </row>
    <row r="107" spans="1:16" x14ac:dyDescent="0.3">
      <c r="A107" t="s">
        <v>5346</v>
      </c>
      <c r="B107" s="1" t="s">
        <v>5347</v>
      </c>
      <c r="C107" t="s">
        <v>5101</v>
      </c>
      <c r="D107" t="s">
        <v>29</v>
      </c>
      <c r="E107" t="s">
        <v>19</v>
      </c>
      <c r="F107" t="s">
        <v>5348</v>
      </c>
      <c r="G107" t="s">
        <v>20</v>
      </c>
      <c r="H107">
        <v>1000</v>
      </c>
      <c r="I107">
        <v>107.5</v>
      </c>
      <c r="J107">
        <v>1000</v>
      </c>
      <c r="O107" t="s">
        <v>21</v>
      </c>
      <c r="P107" t="s">
        <v>5349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FUMDAM STORE</vt:lpstr>
      <vt:lpstr>IJE BEAUTY PLACE</vt:lpstr>
      <vt:lpstr>CHICHI FASHION DESIGNER</vt:lpstr>
      <vt:lpstr>ESTOMUH STORE</vt:lpstr>
      <vt:lpstr>AFOLABI MOJISOLA</vt:lpstr>
      <vt:lpstr>MR CHUKS CATERING</vt:lpstr>
      <vt:lpstr>CHRISTABEL STORE</vt:lpstr>
      <vt:lpstr>DEE TOPSTORE</vt:lpstr>
      <vt:lpstr>RAYMOND VENTURE</vt:lpstr>
      <vt:lpstr>ADEX UNIQUE</vt:lpstr>
      <vt:lpstr>BAYONLE SUCCESS</vt:lpstr>
      <vt:lpstr>ANNYBIZ</vt:lpstr>
      <vt:lpstr>FIADA VENTURES</vt:lpstr>
      <vt:lpstr>SPA LAVENDER</vt:lpstr>
      <vt:lpstr>OLA ALUBARIKA STORES</vt:lpstr>
      <vt:lpstr>OSHINDARA VENTURES</vt:lpstr>
      <vt:lpstr>DON ECUS</vt:lpstr>
      <vt:lpstr>ISHOLA VENTURES</vt:lpstr>
      <vt:lpstr>KOME LTD</vt:lpstr>
      <vt:lpstr>SHANU OLUWASEGUN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2026-03-12T13:41:41Z</dcterms:created>
  <dcterms:modified xsi:type="dcterms:W3CDTF">2026-03-13T15:10:31Z</dcterms:modified>
</cp:coreProperties>
</file>